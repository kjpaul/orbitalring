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mm Tape" sheetId="1" r:id="rId4"/>
    <sheet state="visible" name="3mm Tape" sheetId="2" r:id="rId5"/>
    <sheet state="visible" name="HTS d" sheetId="3" r:id="rId6"/>
  </sheets>
  <definedNames/>
  <calcPr/>
</workbook>
</file>

<file path=xl/sharedStrings.xml><?xml version="1.0" encoding="utf-8"?>
<sst xmlns="http://schemas.openxmlformats.org/spreadsheetml/2006/main" count="959" uniqueCount="82">
  <si>
    <t>W = 0.5 m   |   τp = 50 m   |   gap = 200 mm   |   f = 82.51 Hz   |   slip = 1.21%</t>
  </si>
  <si>
    <t>Turns</t>
  </si>
  <si>
    <t>B at coil</t>
  </si>
  <si>
    <t>Peak Voltage limit</t>
  </si>
  <si>
    <t>Pressure</t>
  </si>
  <si>
    <t>Squeezing Force</t>
  </si>
  <si>
    <t>Thrust max</t>
  </si>
  <si>
    <t>Eddy Current</t>
  </si>
  <si>
    <t>Hysteresis</t>
  </si>
  <si>
    <t>Cryo</t>
  </si>
  <si>
    <t>Site Power</t>
  </si>
  <si>
    <t>μ_0</t>
  </si>
  <si>
    <t>W_coil</t>
  </si>
  <si>
    <t>τ_p</t>
  </si>
  <si>
    <t>A_coil</t>
  </si>
  <si>
    <t>gap</t>
  </si>
  <si>
    <t>v_rel</t>
  </si>
  <si>
    <t>v_slip</t>
  </si>
  <si>
    <t>v_wave</t>
  </si>
  <si>
    <t>Slip</t>
  </si>
  <si>
    <t>F_supply</t>
  </si>
  <si>
    <t>I_peak</t>
  </si>
  <si>
    <t>W-tape</t>
  </si>
  <si>
    <t>sin (alpha)</t>
  </si>
  <si>
    <t>HTS length</t>
  </si>
  <si>
    <t>Cryo Eff</t>
  </si>
  <si>
    <t>Q Day Heat</t>
  </si>
  <si>
    <t>atan factor</t>
  </si>
  <si>
    <t>Phases</t>
  </si>
  <si>
    <t>Pitches</t>
  </si>
  <si>
    <t>#</t>
  </si>
  <si>
    <t>T</t>
  </si>
  <si>
    <t>200,000 V</t>
  </si>
  <si>
    <t>Pa</t>
  </si>
  <si>
    <t>N</t>
  </si>
  <si>
    <t>W</t>
  </si>
  <si>
    <t>MW</t>
  </si>
  <si>
    <t>const</t>
  </si>
  <si>
    <t>m</t>
  </si>
  <si>
    <t>m²</t>
  </si>
  <si>
    <t>m/s</t>
  </si>
  <si>
    <t>%</t>
  </si>
  <si>
    <t>Hz</t>
  </si>
  <si>
    <t>A</t>
  </si>
  <si>
    <t>sin(20°)</t>
  </si>
  <si>
    <t>W = 1 m</t>
  </si>
  <si>
    <t>W = 2 m</t>
  </si>
  <si>
    <t>τp = 100 m   |   f = 41.26 Hz</t>
  </si>
  <si>
    <t>gap = 50 mm</t>
  </si>
  <si>
    <t>current = 1300 A</t>
  </si>
  <si>
    <t>gap = 100 mm  |  W = 0.5 m  |  τp = 100 m  |  current = 1300 A  |  f = 41.26 Hz  |  slip = 1.21%</t>
  </si>
  <si>
    <t>gap = 100 mm  |  W = 0.5 m  |  τp = 100 m  |  current = 650 A  |  f = 41.26 Hz  |  slip = 1.21%</t>
  </si>
  <si>
    <t>W = 0.5 m   |   τp = 50 m   |   gap = 200 mm   |   current = 162.5 A</t>
  </si>
  <si>
    <t>W = 0.5 m   |   τp = 100 m   |   gap = 200 mm   |   current = 162.5 A</t>
  </si>
  <si>
    <t>W = 1 m   |   τp = 100 m   |   gap = 200 mm   |   current = 162.5 A</t>
  </si>
  <si>
    <t>W = 2 m   |   τp = 100 m   |   gap = 200 mm   |   current = 162.5 A</t>
  </si>
  <si>
    <t>W = 0.5 m   |   τp = 50 m   |   gap = 100 mm   |   current = 162.5 A</t>
  </si>
  <si>
    <t>W = 0.5 m   |   τp = 50 m   |   gap = 200 mm   |   current = 325 A</t>
  </si>
  <si>
    <t>W = 1 m   |   τp = 100 m   |   gap = 100 mm   |   current = 325 A</t>
  </si>
  <si>
    <t>W = 0.5 m   |   τp = 100 m   |   gap = 100 mm   |   current = 325 A</t>
  </si>
  <si>
    <t>Layer</t>
  </si>
  <si>
    <t>Material</t>
  </si>
  <si>
    <t>Thickness</t>
  </si>
  <si>
    <t xml:space="preserve">    Substrate</t>
  </si>
  <si>
    <t xml:space="preserve">    Hastilloy C-27</t>
  </si>
  <si>
    <t xml:space="preserve">    50 μm</t>
  </si>
  <si>
    <t xml:space="preserve">    Buffer Layer</t>
  </si>
  <si>
    <t xml:space="preserve">    MgO, LaMnO, etc</t>
  </si>
  <si>
    <t xml:space="preserve">    3x0.5 μm</t>
  </si>
  <si>
    <t xml:space="preserve">    Superconductor</t>
  </si>
  <si>
    <t xml:space="preserve">    REBCO (YBaCuO or GdBaCuO)</t>
  </si>
  <si>
    <t xml:space="preserve">    1-2 μm</t>
  </si>
  <si>
    <t xml:space="preserve">    Cap layer</t>
  </si>
  <si>
    <t xml:space="preserve">    Silver</t>
  </si>
  <si>
    <t xml:space="preserve">    2 μm</t>
  </si>
  <si>
    <t xml:space="preserve">    Coating</t>
  </si>
  <si>
    <t xml:space="preserve">    Copper</t>
  </si>
  <si>
    <t xml:space="preserve">    2x10 μm</t>
  </si>
  <si>
    <t xml:space="preserve">    Total tape thickness</t>
  </si>
  <si>
    <t xml:space="preserve">    80 μm</t>
  </si>
  <si>
    <t xml:space="preserve">    Tape width</t>
  </si>
  <si>
    <t xml:space="preserve">    3,4,6,12 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</si>
</sst>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#,##0.0000"/>
    <numFmt numFmtId="166" formatCode="#,##0.00000"/>
    <numFmt numFmtId="167" formatCode="0.0000"/>
    <numFmt numFmtId="168" formatCode="0.000"/>
  </numFmts>
  <fonts count="18">
    <font>
      <sz val="10.0"/>
      <color rgb="FF000000"/>
      <name val="Arial"/>
      <scheme val="minor"/>
    </font>
    <font>
      <b/>
      <sz val="13.0"/>
      <color theme="1"/>
      <name val="Arial"/>
      <scheme val="minor"/>
    </font>
    <font/>
    <font>
      <sz val="13.0"/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b/>
      <color rgb="FF000000"/>
      <name val="Arial"/>
      <scheme val="minor"/>
    </font>
    <font>
      <b/>
      <sz val="10.0"/>
      <color theme="1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</font>
    <font>
      <b/>
      <color rgb="FFFFFFFF"/>
      <name val="Arial"/>
    </font>
    <font>
      <b/>
      <sz val="10.0"/>
      <color theme="1"/>
      <name val="Arial"/>
    </font>
    <font>
      <b/>
      <sz val="12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  <fill>
      <patternFill patternType="solid">
        <fgColor rgb="FFCC0000"/>
        <bgColor rgb="FFCC00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</fills>
  <borders count="61">
    <border/>
    <border>
      <left style="thick">
        <color rgb="FF666666"/>
      </left>
      <top style="thick">
        <color rgb="FF666666"/>
      </top>
    </border>
    <border>
      <top style="thick">
        <color rgb="FF666666"/>
      </top>
    </border>
    <border>
      <right style="thick">
        <color rgb="FF666666"/>
      </right>
      <top style="thick">
        <color rgb="FF666666"/>
      </top>
    </border>
    <border>
      <left style="thick">
        <color rgb="FF666666"/>
      </left>
      <top style="thick">
        <color rgb="FF666666"/>
      </top>
      <bottom style="thick">
        <color rgb="FF666666"/>
      </bottom>
    </border>
    <border>
      <left style="double">
        <color rgb="FF666666"/>
      </left>
      <right style="medium">
        <color rgb="FF93C47D"/>
      </right>
      <top style="thick">
        <color rgb="FF666666"/>
      </top>
      <bottom style="thick">
        <color rgb="FF666666"/>
      </bottom>
    </border>
    <border>
      <left style="medium">
        <color rgb="FF93C47D"/>
      </left>
      <top style="thick">
        <color rgb="FF666666"/>
      </top>
      <bottom style="thick">
        <color rgb="FF666666"/>
      </bottom>
    </border>
    <border>
      <left style="medium">
        <color rgb="FF93C47D"/>
      </left>
      <right style="double">
        <color rgb="FF666666"/>
      </right>
      <top style="thick">
        <color rgb="FF666666"/>
      </top>
      <bottom style="thick">
        <color rgb="FF666666"/>
      </bottom>
    </border>
    <border>
      <top style="thick">
        <color rgb="FF666666"/>
      </top>
      <bottom style="thick">
        <color rgb="FF666666"/>
      </bottom>
    </border>
    <border>
      <left style="double">
        <color rgb="FF666666"/>
      </left>
      <right style="thick">
        <color rgb="FF666666"/>
      </right>
      <top style="thick">
        <color rgb="FF666666"/>
      </top>
      <bottom style="thick">
        <color rgb="FF666666"/>
      </bottom>
    </border>
    <border>
      <left style="thick">
        <color rgb="FF666666"/>
      </left>
      <top style="medium">
        <color rgb="FF93C47D"/>
      </top>
    </border>
    <border>
      <left style="double">
        <color rgb="FF666666"/>
      </left>
      <right style="medium">
        <color rgb="FF93C47D"/>
      </right>
      <top style="medium">
        <color rgb="FF93C47D"/>
      </top>
    </border>
    <border>
      <left style="medium">
        <color rgb="FF93C47D"/>
      </left>
      <top style="medium">
        <color rgb="FF93C47D"/>
      </top>
    </border>
    <border>
      <left style="medium">
        <color rgb="FF93C47D"/>
      </left>
      <bottom style="double">
        <color rgb="FF666666"/>
      </bottom>
    </border>
    <border>
      <left style="double">
        <color rgb="FF666666"/>
      </left>
      <right style="medium">
        <color rgb="FF93C47D"/>
      </right>
    </border>
    <border>
      <left style="medium">
        <color rgb="FF93C47D"/>
      </left>
      <right style="double">
        <color rgb="FF666666"/>
      </right>
    </border>
    <border>
      <bottom style="double">
        <color rgb="FF666666"/>
      </bottom>
    </border>
    <border>
      <left style="double">
        <color rgb="FF666666"/>
      </left>
      <right style="thick">
        <color rgb="FF666666"/>
      </right>
      <bottom style="double">
        <color rgb="FF666666"/>
      </bottom>
    </border>
    <border>
      <left style="thick">
        <color rgb="FF666666"/>
      </left>
      <top style="double">
        <color rgb="FF666666"/>
      </top>
      <bottom style="thin">
        <color rgb="FF666666"/>
      </bottom>
    </border>
    <border>
      <left style="double">
        <color rgb="FF666666"/>
      </left>
      <right style="thin">
        <color rgb="FF000000"/>
      </right>
      <top style="double">
        <color rgb="FF666666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double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double">
        <color rgb="FF666666"/>
      </top>
      <bottom style="thin">
        <color rgb="FF666666"/>
      </bottom>
    </border>
    <border>
      <left style="thin">
        <color rgb="FF666666"/>
      </left>
      <bottom style="thin">
        <color rgb="FF666666"/>
      </bottom>
    </border>
    <border>
      <left style="thin">
        <color rgb="FF000000"/>
      </left>
      <right style="double">
        <color rgb="FF666666"/>
      </right>
      <top style="double">
        <color rgb="FF666666"/>
      </top>
      <bottom style="thin">
        <color rgb="FF000000"/>
      </bottom>
    </border>
    <border>
      <bottom style="thin">
        <color rgb="FF666666"/>
      </bottom>
    </border>
    <border>
      <left style="double">
        <color rgb="FF666666"/>
      </left>
      <right style="thick">
        <color rgb="FF666666"/>
      </right>
      <bottom style="thin">
        <color rgb="FF666666"/>
      </bottom>
    </border>
    <border>
      <left style="thick">
        <color rgb="FF666666"/>
      </left>
      <top style="thin">
        <color rgb="FF666666"/>
      </top>
      <bottom style="thin">
        <color rgb="FF666666"/>
      </bottom>
    </border>
    <border>
      <left style="double">
        <color rgb="FF666666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double">
        <color rgb="FF666666"/>
      </right>
      <top style="thin">
        <color rgb="FF000000"/>
      </top>
      <bottom style="thin">
        <color rgb="FF000000"/>
      </bottom>
    </border>
    <border>
      <left style="thick">
        <color rgb="FF666666"/>
      </left>
      <top style="thin">
        <color rgb="FF666666"/>
      </top>
    </border>
    <border>
      <left style="double">
        <color rgb="FF666666"/>
      </left>
      <right style="thin">
        <color rgb="FF000000"/>
      </right>
      <top style="thin">
        <color rgb="FF000000"/>
      </top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000000"/>
      </left>
      <right style="thin">
        <color rgb="FF000000"/>
      </right>
      <top style="thin">
        <color rgb="FF666666"/>
      </top>
    </border>
    <border>
      <left style="thin">
        <color rgb="FF666666"/>
      </left>
    </border>
    <border>
      <left style="thin">
        <color rgb="FF000000"/>
      </left>
      <right style="double">
        <color rgb="FF666666"/>
      </right>
      <top style="thin">
        <color rgb="FF000000"/>
      </top>
    </border>
    <border>
      <left style="double">
        <color rgb="FF666666"/>
      </left>
      <right style="thick">
        <color rgb="FF666666"/>
      </right>
    </border>
    <border>
      <left style="thick">
        <color rgb="FF666666"/>
      </left>
      <top style="double">
        <color rgb="FF666666"/>
      </top>
      <bottom style="thick">
        <color rgb="FF666666"/>
      </bottom>
    </border>
    <border>
      <left style="double">
        <color rgb="FF666666"/>
      </left>
      <right style="thin">
        <color rgb="FF000000"/>
      </right>
      <top style="double">
        <color rgb="FF666666"/>
      </top>
      <bottom style="thick">
        <color rgb="FF666666"/>
      </bottom>
    </border>
    <border>
      <left style="thin">
        <color rgb="FF666666"/>
      </left>
      <right style="thin">
        <color rgb="FF666666"/>
      </right>
      <top style="double">
        <color rgb="FF666666"/>
      </top>
      <bottom style="thick">
        <color rgb="FF666666"/>
      </bottom>
    </border>
    <border>
      <left style="thin">
        <color rgb="FF000000"/>
      </left>
      <right style="thin">
        <color rgb="FF000000"/>
      </right>
      <top style="double">
        <color rgb="FF666666"/>
      </top>
      <bottom style="thick">
        <color rgb="FF666666"/>
      </bottom>
    </border>
    <border>
      <left style="thin">
        <color rgb="FF666666"/>
      </left>
      <top style="double">
        <color rgb="FF666666"/>
      </top>
      <bottom style="thick">
        <color rgb="FF666666"/>
      </bottom>
    </border>
    <border>
      <left style="thin">
        <color rgb="FF000000"/>
      </left>
      <right style="double">
        <color rgb="FF666666"/>
      </right>
      <top style="double">
        <color rgb="FF666666"/>
      </top>
      <bottom style="thick">
        <color rgb="FF666666"/>
      </bottom>
    </border>
    <border>
      <top style="double">
        <color rgb="FF666666"/>
      </top>
      <bottom style="thick">
        <color rgb="FF666666"/>
      </bottom>
    </border>
    <border>
      <left style="double">
        <color rgb="FF666666"/>
      </left>
      <right style="thick">
        <color rgb="FF666666"/>
      </right>
      <top style="double">
        <color rgb="FF666666"/>
      </top>
      <bottom style="thick">
        <color rgb="FF666666"/>
      </bottom>
    </border>
    <border>
      <left style="thick">
        <color rgb="FF666666"/>
      </left>
      <right style="thin">
        <color rgb="FFB7B7B7"/>
      </right>
      <top style="thick">
        <color rgb="FF666666"/>
      </top>
      <bottom style="thick">
        <color rgb="FF666666"/>
      </bottom>
    </border>
    <border>
      <left style="thin">
        <color rgb="FFB7B7B7"/>
      </left>
      <right style="thin">
        <color rgb="FFB7B7B7"/>
      </right>
      <top style="thick">
        <color rgb="FF666666"/>
      </top>
      <bottom style="thick">
        <color rgb="FF666666"/>
      </bottom>
    </border>
    <border>
      <left style="thin">
        <color rgb="FFB7B7B7"/>
      </left>
      <right style="thick">
        <color rgb="FF666666"/>
      </right>
      <top style="thick">
        <color rgb="FF666666"/>
      </top>
      <bottom style="thick">
        <color rgb="FF666666"/>
      </bottom>
    </border>
    <border>
      <left style="thick">
        <color rgb="FF666666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ck">
        <color rgb="FF666666"/>
      </right>
      <bottom style="thin">
        <color rgb="FFB7B7B7"/>
      </bottom>
    </border>
    <border>
      <left style="thick">
        <color rgb="FF666666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ck">
        <color rgb="FF666666"/>
      </right>
      <top style="thin">
        <color rgb="FFB7B7B7"/>
      </top>
      <bottom style="thin">
        <color rgb="FFB7B7B7"/>
      </bottom>
    </border>
    <border>
      <left style="thick">
        <color rgb="FF666666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ck">
        <color rgb="FF666666"/>
      </right>
      <top style="thin">
        <color rgb="FFB7B7B7"/>
      </top>
    </border>
    <border>
      <left style="thick">
        <color rgb="FF666666"/>
      </left>
      <right style="thin">
        <color rgb="FFB7B7B7"/>
      </right>
      <top style="thin">
        <color rgb="FFB7B7B7"/>
      </top>
      <bottom style="thick">
        <color rgb="FF666666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666666"/>
      </bottom>
    </border>
    <border>
      <left style="thin">
        <color rgb="FFB7B7B7"/>
      </left>
      <right style="thick">
        <color rgb="FF666666"/>
      </right>
      <top style="thin">
        <color rgb="FFB7B7B7"/>
      </top>
      <bottom style="thick">
        <color rgb="FF666666"/>
      </bottom>
    </border>
  </borders>
  <cellStyleXfs count="1">
    <xf borderId="0" fillId="0" fontId="0" numFmtId="0" applyAlignment="1" applyFont="1"/>
  </cellStyleXfs>
  <cellXfs count="2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4" fillId="2" fontId="4" numFmtId="0" xfId="0" applyAlignment="1" applyBorder="1" applyFont="1">
      <alignment horizontal="center" readingOrder="0" shrinkToFit="0" vertical="center" wrapText="1"/>
    </xf>
    <xf borderId="5" fillId="2" fontId="4" numFmtId="0" xfId="0" applyAlignment="1" applyBorder="1" applyFont="1">
      <alignment horizontal="center" readingOrder="0" shrinkToFit="0" vertical="center" wrapText="1"/>
    </xf>
    <xf borderId="6" fillId="2" fontId="4" numFmtId="0" xfId="0" applyAlignment="1" applyBorder="1" applyFont="1">
      <alignment horizontal="center" readingOrder="0" shrinkToFit="0" vertical="center" wrapText="1"/>
    </xf>
    <xf borderId="7" fillId="2" fontId="4" numFmtId="0" xfId="0" applyAlignment="1" applyBorder="1" applyFont="1">
      <alignment horizontal="center" readingOrder="0" shrinkToFit="0" vertical="center" wrapText="1"/>
    </xf>
    <xf borderId="8" fillId="2" fontId="5" numFmtId="0" xfId="0" applyAlignment="1" applyBorder="1" applyFont="1">
      <alignment horizontal="center" readingOrder="0" shrinkToFit="0" vertical="center" wrapText="1"/>
    </xf>
    <xf borderId="9" fillId="2" fontId="5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10" fillId="2" fontId="4" numFmtId="0" xfId="0" applyAlignment="1" applyBorder="1" applyFont="1">
      <alignment horizontal="center" readingOrder="0" shrinkToFit="0" vertical="center" wrapText="1"/>
    </xf>
    <xf borderId="11" fillId="2" fontId="4" numFmtId="165" xfId="0" applyAlignment="1" applyBorder="1" applyFont="1" applyNumberFormat="1">
      <alignment horizontal="center" readingOrder="0" shrinkToFit="0" vertical="center" wrapText="1"/>
    </xf>
    <xf borderId="12" fillId="2" fontId="4" numFmtId="0" xfId="0" applyAlignment="1" applyBorder="1" applyFont="1">
      <alignment horizontal="center" readingOrder="0" shrinkToFit="0" vertical="center" wrapText="1"/>
    </xf>
    <xf borderId="12" fillId="2" fontId="5" numFmtId="0" xfId="0" applyAlignment="1" applyBorder="1" applyFont="1">
      <alignment horizontal="center" shrinkToFit="0" wrapText="1"/>
    </xf>
    <xf borderId="13" fillId="2" fontId="4" numFmtId="0" xfId="0" applyAlignment="1" applyBorder="1" applyFont="1">
      <alignment horizontal="center" readingOrder="0" shrinkToFit="0" vertical="center" wrapText="1"/>
    </xf>
    <xf borderId="14" fillId="2" fontId="4" numFmtId="11" xfId="0" applyAlignment="1" applyBorder="1" applyFont="1" applyNumberFormat="1">
      <alignment horizontal="center" readingOrder="0" vertical="center"/>
    </xf>
    <xf borderId="15" fillId="2" fontId="4" numFmtId="11" xfId="0" applyAlignment="1" applyBorder="1" applyFont="1" applyNumberFormat="1">
      <alignment horizontal="center" readingOrder="0" vertical="center"/>
    </xf>
    <xf borderId="16" fillId="2" fontId="5" numFmtId="11" xfId="0" applyAlignment="1" applyBorder="1" applyFont="1" applyNumberFormat="1">
      <alignment horizontal="center" readingOrder="0"/>
    </xf>
    <xf borderId="17" fillId="2" fontId="5" numFmtId="11" xfId="0" applyAlignment="1" applyBorder="1" applyFont="1" applyNumberFormat="1">
      <alignment horizontal="center" readingOrder="0"/>
    </xf>
    <xf borderId="0" fillId="0" fontId="4" numFmtId="11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4" numFmtId="2" xfId="0" applyAlignment="1" applyFont="1" applyNumberFormat="1">
      <alignment horizontal="center" readingOrder="0" vertical="center"/>
    </xf>
    <xf borderId="18" fillId="3" fontId="6" numFmtId="0" xfId="0" applyAlignment="1" applyBorder="1" applyFill="1" applyFont="1">
      <alignment readingOrder="0"/>
    </xf>
    <xf borderId="19" fillId="3" fontId="7" numFmtId="166" xfId="0" applyBorder="1" applyFont="1" applyNumberFormat="1"/>
    <xf borderId="20" fillId="3" fontId="7" numFmtId="3" xfId="0" applyBorder="1" applyFont="1" applyNumberFormat="1"/>
    <xf borderId="21" fillId="3" fontId="8" numFmtId="3" xfId="0" applyAlignment="1" applyBorder="1" applyFont="1" applyNumberFormat="1">
      <alignment horizontal="right" vertical="bottom"/>
    </xf>
    <xf borderId="22" fillId="3" fontId="7" numFmtId="4" xfId="0" applyBorder="1" applyFont="1" applyNumberFormat="1"/>
    <xf borderId="19" fillId="3" fontId="7" numFmtId="3" xfId="0" applyAlignment="1" applyBorder="1" applyFont="1" applyNumberFormat="1">
      <alignment readingOrder="0"/>
    </xf>
    <xf borderId="23" fillId="3" fontId="7" numFmtId="3" xfId="0" applyAlignment="1" applyBorder="1" applyFont="1" applyNumberFormat="1">
      <alignment readingOrder="0"/>
    </xf>
    <xf borderId="24" fillId="3" fontId="8" numFmtId="4" xfId="0" applyAlignment="1" applyBorder="1" applyFont="1" applyNumberFormat="1">
      <alignment horizontal="right" vertical="bottom"/>
    </xf>
    <xf borderId="25" fillId="3" fontId="5" numFmtId="4" xfId="0" applyAlignment="1" applyBorder="1" applyFont="1" applyNumberFormat="1">
      <alignment horizontal="right" vertical="bottom"/>
    </xf>
    <xf borderId="0" fillId="0" fontId="6" numFmtId="11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10" xfId="0" applyAlignment="1" applyFont="1" applyNumberFormat="1">
      <alignment readingOrder="0"/>
    </xf>
    <xf borderId="0" fillId="0" fontId="6" numFmtId="2" xfId="0" applyAlignment="1" applyFont="1" applyNumberFormat="1">
      <alignment readingOrder="0"/>
    </xf>
    <xf borderId="26" fillId="3" fontId="9" numFmtId="0" xfId="0" applyAlignment="1" applyBorder="1" applyFont="1">
      <alignment readingOrder="0"/>
    </xf>
    <xf borderId="27" fillId="3" fontId="7" numFmtId="166" xfId="0" applyBorder="1" applyFont="1" applyNumberFormat="1"/>
    <xf borderId="28" fillId="3" fontId="7" numFmtId="3" xfId="0" applyBorder="1" applyFont="1" applyNumberFormat="1"/>
    <xf borderId="29" fillId="3" fontId="8" numFmtId="3" xfId="0" applyAlignment="1" applyBorder="1" applyFont="1" applyNumberFormat="1">
      <alignment horizontal="right" vertical="bottom"/>
    </xf>
    <xf borderId="27" fillId="3" fontId="7" numFmtId="3" xfId="0" applyAlignment="1" applyBorder="1" applyFont="1" applyNumberFormat="1">
      <alignment readingOrder="0"/>
    </xf>
    <xf borderId="30" fillId="3" fontId="7" numFmtId="3" xfId="0" applyAlignment="1" applyBorder="1" applyFont="1" applyNumberFormat="1">
      <alignment readingOrder="0"/>
    </xf>
    <xf borderId="31" fillId="3" fontId="9" numFmtId="0" xfId="0" applyAlignment="1" applyBorder="1" applyFont="1">
      <alignment readingOrder="0"/>
    </xf>
    <xf borderId="32" fillId="3" fontId="7" numFmtId="166" xfId="0" applyBorder="1" applyFont="1" applyNumberFormat="1"/>
    <xf borderId="33" fillId="3" fontId="7" numFmtId="3" xfId="0" applyBorder="1" applyFont="1" applyNumberFormat="1"/>
    <xf borderId="34" fillId="3" fontId="8" numFmtId="3" xfId="0" applyAlignment="1" applyBorder="1" applyFont="1" applyNumberFormat="1">
      <alignment horizontal="right" vertical="bottom"/>
    </xf>
    <xf borderId="35" fillId="3" fontId="7" numFmtId="4" xfId="0" applyBorder="1" applyFont="1" applyNumberFormat="1"/>
    <xf borderId="32" fillId="3" fontId="7" numFmtId="3" xfId="0" applyAlignment="1" applyBorder="1" applyFont="1" applyNumberFormat="1">
      <alignment readingOrder="0"/>
    </xf>
    <xf borderId="36" fillId="3" fontId="7" numFmtId="3" xfId="0" applyAlignment="1" applyBorder="1" applyFont="1" applyNumberFormat="1">
      <alignment readingOrder="0"/>
    </xf>
    <xf borderId="0" fillId="3" fontId="8" numFmtId="4" xfId="0" applyAlignment="1" applyFont="1" applyNumberFormat="1">
      <alignment horizontal="right" vertical="bottom"/>
    </xf>
    <xf borderId="37" fillId="3" fontId="5" numFmtId="4" xfId="0" applyAlignment="1" applyBorder="1" applyFont="1" applyNumberFormat="1">
      <alignment horizontal="right" vertical="bottom"/>
    </xf>
    <xf borderId="38" fillId="3" fontId="9" numFmtId="0" xfId="0" applyAlignment="1" applyBorder="1" applyFont="1">
      <alignment readingOrder="0"/>
    </xf>
    <xf borderId="39" fillId="3" fontId="7" numFmtId="166" xfId="0" applyBorder="1" applyFont="1" applyNumberFormat="1"/>
    <xf borderId="40" fillId="3" fontId="7" numFmtId="3" xfId="0" applyBorder="1" applyFont="1" applyNumberFormat="1"/>
    <xf borderId="41" fillId="3" fontId="8" numFmtId="3" xfId="0" applyAlignment="1" applyBorder="1" applyFont="1" applyNumberFormat="1">
      <alignment horizontal="right" vertical="bottom"/>
    </xf>
    <xf borderId="42" fillId="3" fontId="10" numFmtId="4" xfId="0" applyBorder="1" applyFont="1" applyNumberFormat="1"/>
    <xf borderId="39" fillId="3" fontId="7" numFmtId="3" xfId="0" applyAlignment="1" applyBorder="1" applyFont="1" applyNumberFormat="1">
      <alignment readingOrder="0"/>
    </xf>
    <xf borderId="43" fillId="3" fontId="7" numFmtId="3" xfId="0" applyAlignment="1" applyBorder="1" applyFont="1" applyNumberFormat="1">
      <alignment readingOrder="0"/>
    </xf>
    <xf borderId="44" fillId="3" fontId="8" numFmtId="4" xfId="0" applyAlignment="1" applyBorder="1" applyFont="1" applyNumberFormat="1">
      <alignment horizontal="right" vertical="bottom"/>
    </xf>
    <xf borderId="45" fillId="3" fontId="5" numFmtId="4" xfId="0" applyAlignment="1" applyBorder="1" applyFont="1" applyNumberFormat="1">
      <alignment horizontal="right" vertical="bottom"/>
    </xf>
    <xf borderId="0" fillId="0" fontId="6" numFmtId="164" xfId="0" applyFont="1" applyNumberFormat="1"/>
    <xf borderId="0" fillId="0" fontId="3" numFmtId="0" xfId="0" applyFont="1"/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4" numFmtId="0" xfId="0" applyAlignment="1" applyFont="1">
      <alignment horizontal="center" readingOrder="0" shrinkToFit="0" wrapText="1"/>
    </xf>
    <xf borderId="0" fillId="0" fontId="4" numFmtId="164" xfId="0" applyAlignment="1" applyFont="1" applyNumberFormat="1">
      <alignment horizontal="center" readingOrder="0" shrinkToFit="0" wrapText="1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2" xfId="0" applyAlignment="1" applyFont="1" applyNumberFormat="1">
      <alignment horizontal="center" readingOrder="0"/>
    </xf>
    <xf borderId="38" fillId="3" fontId="11" numFmtId="0" xfId="0" applyAlignment="1" applyBorder="1" applyFont="1">
      <alignment readingOrder="0"/>
    </xf>
    <xf borderId="42" fillId="4" fontId="12" numFmtId="4" xfId="0" applyBorder="1" applyFill="1" applyFont="1" applyNumberFormat="1"/>
    <xf borderId="0" fillId="3" fontId="6" numFmtId="11" xfId="0" applyAlignment="1" applyFont="1" applyNumberFormat="1">
      <alignment readingOrder="0"/>
    </xf>
    <xf borderId="26" fillId="3" fontId="6" numFmtId="0" xfId="0" applyAlignment="1" applyBorder="1" applyFont="1">
      <alignment readingOrder="0"/>
    </xf>
    <xf borderId="0" fillId="3" fontId="6" numFmtId="0" xfId="0" applyAlignment="1" applyFont="1">
      <alignment readingOrder="0"/>
    </xf>
    <xf borderId="38" fillId="3" fontId="13" numFmtId="0" xfId="0" applyAlignment="1" applyBorder="1" applyFont="1">
      <alignment readingOrder="0"/>
    </xf>
    <xf borderId="0" fillId="0" fontId="6" numFmtId="4" xfId="0" applyFont="1" applyNumberFormat="1"/>
    <xf borderId="1" fillId="2" fontId="14" numFmtId="0" xfId="0" applyAlignment="1" applyBorder="1" applyFont="1">
      <alignment horizontal="center" readingOrder="0" shrinkToFit="0" wrapText="1"/>
    </xf>
    <xf borderId="0" fillId="0" fontId="8" numFmtId="0" xfId="0" applyFont="1"/>
    <xf borderId="0" fillId="0" fontId="8" numFmtId="164" xfId="0" applyFont="1" applyNumberFormat="1"/>
    <xf borderId="0" fillId="0" fontId="8" numFmtId="167" xfId="0" applyFont="1" applyNumberFormat="1"/>
    <xf borderId="0" fillId="0" fontId="8" numFmtId="168" xfId="0" applyFont="1" applyNumberFormat="1"/>
    <xf borderId="4" fillId="2" fontId="5" numFmtId="0" xfId="0" applyAlignment="1" applyBorder="1" applyFont="1">
      <alignment horizontal="center" shrinkToFit="0" wrapText="1"/>
    </xf>
    <xf borderId="5" fillId="2" fontId="5" numFmtId="0" xfId="0" applyAlignment="1" applyBorder="1" applyFont="1">
      <alignment horizontal="center" shrinkToFit="0" wrapText="1"/>
    </xf>
    <xf borderId="6" fillId="2" fontId="5" numFmtId="0" xfId="0" applyAlignment="1" applyBorder="1" applyFont="1">
      <alignment horizontal="center" shrinkToFit="0" wrapText="1"/>
    </xf>
    <xf borderId="7" fillId="2" fontId="5" numFmtId="0" xfId="0" applyAlignment="1" applyBorder="1" applyFont="1">
      <alignment horizontal="center" shrinkToFit="0" wrapText="1"/>
    </xf>
    <xf borderId="8" fillId="2" fontId="5" numFmtId="0" xfId="0" applyAlignment="1" applyBorder="1" applyFont="1">
      <alignment horizontal="center" shrinkToFit="0" wrapText="1"/>
    </xf>
    <xf borderId="9" fillId="2" fontId="5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5" numFmtId="164" xfId="0" applyAlignment="1" applyFont="1" applyNumberFormat="1">
      <alignment horizontal="center" shrinkToFit="0" wrapText="1"/>
    </xf>
    <xf borderId="0" fillId="0" fontId="5" numFmtId="167" xfId="0" applyAlignment="1" applyFont="1" applyNumberFormat="1">
      <alignment horizontal="center" shrinkToFit="0" wrapText="1"/>
    </xf>
    <xf borderId="0" fillId="0" fontId="5" numFmtId="168" xfId="0" applyAlignment="1" applyFont="1" applyNumberFormat="1">
      <alignment horizontal="center" shrinkToFit="0" wrapText="1"/>
    </xf>
    <xf borderId="10" fillId="2" fontId="5" numFmtId="0" xfId="0" applyAlignment="1" applyBorder="1" applyFont="1">
      <alignment horizontal="center" shrinkToFit="0" wrapText="1"/>
    </xf>
    <xf borderId="11" fillId="2" fontId="5" numFmtId="165" xfId="0" applyAlignment="1" applyBorder="1" applyFont="1" applyNumberFormat="1">
      <alignment horizontal="center" shrinkToFit="0" wrapText="1"/>
    </xf>
    <xf borderId="12" fillId="2" fontId="5" numFmtId="0" xfId="0" applyAlignment="1" applyBorder="1" applyFont="1">
      <alignment horizontal="center" shrinkToFit="0" wrapText="1"/>
    </xf>
    <xf borderId="12" fillId="2" fontId="5" numFmtId="0" xfId="0" applyAlignment="1" applyBorder="1" applyFont="1">
      <alignment horizontal="center" shrinkToFit="0" vertical="bottom" wrapText="1"/>
    </xf>
    <xf borderId="13" fillId="2" fontId="5" numFmtId="0" xfId="0" applyAlignment="1" applyBorder="1" applyFont="1">
      <alignment horizontal="center" shrinkToFit="0" wrapText="1"/>
    </xf>
    <xf borderId="14" fillId="2" fontId="5" numFmtId="11" xfId="0" applyAlignment="1" applyBorder="1" applyFont="1" applyNumberFormat="1">
      <alignment horizontal="center"/>
    </xf>
    <xf borderId="15" fillId="2" fontId="5" numFmtId="11" xfId="0" applyAlignment="1" applyBorder="1" applyFont="1" applyNumberFormat="1">
      <alignment horizontal="center"/>
    </xf>
    <xf borderId="16" fillId="2" fontId="5" numFmtId="11" xfId="0" applyAlignment="1" applyBorder="1" applyFont="1" applyNumberFormat="1">
      <alignment horizontal="center" vertical="bottom"/>
    </xf>
    <xf borderId="17" fillId="2" fontId="5" numFmtId="11" xfId="0" applyAlignment="1" applyBorder="1" applyFont="1" applyNumberFormat="1">
      <alignment horizontal="center" vertical="bottom"/>
    </xf>
    <xf borderId="0" fillId="0" fontId="5" numFmtId="11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2" xfId="0" applyAlignment="1" applyFont="1" applyNumberFormat="1">
      <alignment horizontal="center"/>
    </xf>
    <xf borderId="0" fillId="0" fontId="5" numFmtId="167" xfId="0" applyAlignment="1" applyFont="1" applyNumberFormat="1">
      <alignment horizontal="center"/>
    </xf>
    <xf borderId="0" fillId="0" fontId="5" numFmtId="168" xfId="0" applyAlignment="1" applyFont="1" applyNumberFormat="1">
      <alignment horizontal="center"/>
    </xf>
    <xf borderId="18" fillId="5" fontId="8" numFmtId="0" xfId="0" applyAlignment="1" applyBorder="1" applyFill="1" applyFont="1">
      <alignment horizontal="right" vertical="bottom"/>
    </xf>
    <xf borderId="19" fillId="5" fontId="8" numFmtId="166" xfId="0" applyAlignment="1" applyBorder="1" applyFont="1" applyNumberFormat="1">
      <alignment horizontal="right" vertical="bottom"/>
    </xf>
    <xf borderId="20" fillId="5" fontId="8" numFmtId="3" xfId="0" applyAlignment="1" applyBorder="1" applyFont="1" applyNumberFormat="1">
      <alignment horizontal="right" vertical="bottom"/>
    </xf>
    <xf borderId="21" fillId="5" fontId="8" numFmtId="3" xfId="0" applyAlignment="1" applyBorder="1" applyFont="1" applyNumberFormat="1">
      <alignment horizontal="right" vertical="bottom"/>
    </xf>
    <xf borderId="22" fillId="5" fontId="8" numFmtId="4" xfId="0" applyAlignment="1" applyBorder="1" applyFont="1" applyNumberFormat="1">
      <alignment horizontal="right" vertical="bottom"/>
    </xf>
    <xf borderId="19" fillId="5" fontId="8" numFmtId="3" xfId="0" applyAlignment="1" applyBorder="1" applyFont="1" applyNumberFormat="1">
      <alignment horizontal="right" vertical="bottom"/>
    </xf>
    <xf borderId="23" fillId="5" fontId="8" numFmtId="3" xfId="0" applyAlignment="1" applyBorder="1" applyFont="1" applyNumberFormat="1">
      <alignment horizontal="right" vertical="bottom"/>
    </xf>
    <xf borderId="24" fillId="5" fontId="8" numFmtId="4" xfId="0" applyAlignment="1" applyBorder="1" applyFont="1" applyNumberFormat="1">
      <alignment horizontal="right" vertical="bottom"/>
    </xf>
    <xf borderId="25" fillId="3" fontId="5" numFmtId="4" xfId="0" applyAlignment="1" applyBorder="1" applyFont="1" applyNumberFormat="1">
      <alignment horizontal="right" vertical="bottom"/>
    </xf>
    <xf borderId="0" fillId="0" fontId="8" numFmtId="11" xfId="0" applyAlignment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0" fillId="0" fontId="8" numFmtId="164" xfId="0" applyAlignment="1" applyFont="1" applyNumberFormat="1">
      <alignment horizontal="right" vertical="bottom"/>
    </xf>
    <xf borderId="0" fillId="0" fontId="8" numFmtId="10" xfId="0" applyAlignment="1" applyFont="1" applyNumberFormat="1">
      <alignment horizontal="right" vertical="bottom"/>
    </xf>
    <xf borderId="0" fillId="0" fontId="8" numFmtId="2" xfId="0" applyAlignment="1" applyFont="1" applyNumberFormat="1">
      <alignment horizontal="right" vertical="bottom"/>
    </xf>
    <xf borderId="0" fillId="0" fontId="8" numFmtId="0" xfId="0" applyAlignment="1" applyFont="1">
      <alignment horizontal="right" readingOrder="0" vertical="bottom"/>
    </xf>
    <xf borderId="0" fillId="0" fontId="8" numFmtId="167" xfId="0" applyAlignment="1" applyFont="1" applyNumberFormat="1">
      <alignment horizontal="right" vertical="bottom"/>
    </xf>
    <xf borderId="0" fillId="0" fontId="8" numFmtId="168" xfId="0" applyAlignment="1" applyFont="1" applyNumberFormat="1">
      <alignment horizontal="right" vertical="bottom"/>
    </xf>
    <xf borderId="26" fillId="3" fontId="8" numFmtId="0" xfId="0" applyAlignment="1" applyBorder="1" applyFont="1">
      <alignment horizontal="right" readingOrder="0" vertical="bottom"/>
    </xf>
    <xf borderId="27" fillId="3" fontId="8" numFmtId="166" xfId="0" applyAlignment="1" applyBorder="1" applyFont="1" applyNumberFormat="1">
      <alignment horizontal="right" vertical="bottom"/>
    </xf>
    <xf borderId="28" fillId="3" fontId="8" numFmtId="3" xfId="0" applyAlignment="1" applyBorder="1" applyFont="1" applyNumberFormat="1">
      <alignment horizontal="right" vertical="bottom"/>
    </xf>
    <xf borderId="29" fillId="3" fontId="8" numFmtId="3" xfId="0" applyAlignment="1" applyBorder="1" applyFont="1" applyNumberFormat="1">
      <alignment horizontal="right" vertical="bottom"/>
    </xf>
    <xf borderId="22" fillId="3" fontId="8" numFmtId="4" xfId="0" applyAlignment="1" applyBorder="1" applyFont="1" applyNumberFormat="1">
      <alignment horizontal="right" vertical="bottom"/>
    </xf>
    <xf borderId="27" fillId="3" fontId="8" numFmtId="3" xfId="0" applyAlignment="1" applyBorder="1" applyFont="1" applyNumberFormat="1">
      <alignment horizontal="right" vertical="bottom"/>
    </xf>
    <xf borderId="30" fillId="3" fontId="8" numFmtId="3" xfId="0" applyAlignment="1" applyBorder="1" applyFont="1" applyNumberFormat="1">
      <alignment horizontal="right" vertical="bottom"/>
    </xf>
    <xf borderId="25" fillId="6" fontId="15" numFmtId="4" xfId="0" applyAlignment="1" applyBorder="1" applyFill="1" applyFont="1" applyNumberFormat="1">
      <alignment horizontal="right" vertical="bottom"/>
    </xf>
    <xf borderId="31" fillId="5" fontId="8" numFmtId="0" xfId="0" applyAlignment="1" applyBorder="1" applyFont="1">
      <alignment horizontal="right" readingOrder="0" vertical="bottom"/>
    </xf>
    <xf borderId="32" fillId="5" fontId="8" numFmtId="166" xfId="0" applyAlignment="1" applyBorder="1" applyFont="1" applyNumberFormat="1">
      <alignment horizontal="right" vertical="bottom"/>
    </xf>
    <xf borderId="33" fillId="5" fontId="8" numFmtId="3" xfId="0" applyAlignment="1" applyBorder="1" applyFont="1" applyNumberFormat="1">
      <alignment horizontal="right" vertical="bottom"/>
    </xf>
    <xf borderId="34" fillId="5" fontId="8" numFmtId="3" xfId="0" applyAlignment="1" applyBorder="1" applyFont="1" applyNumberFormat="1">
      <alignment horizontal="right" vertical="bottom"/>
    </xf>
    <xf borderId="35" fillId="5" fontId="5" numFmtId="4" xfId="0" applyAlignment="1" applyBorder="1" applyFont="1" applyNumberFormat="1">
      <alignment horizontal="right" vertical="bottom"/>
    </xf>
    <xf borderId="32" fillId="5" fontId="8" numFmtId="3" xfId="0" applyAlignment="1" applyBorder="1" applyFont="1" applyNumberFormat="1">
      <alignment horizontal="right" vertical="bottom"/>
    </xf>
    <xf borderId="36" fillId="5" fontId="8" numFmtId="3" xfId="0" applyAlignment="1" applyBorder="1" applyFont="1" applyNumberFormat="1">
      <alignment horizontal="right" vertical="bottom"/>
    </xf>
    <xf borderId="0" fillId="5" fontId="8" numFmtId="4" xfId="0" applyAlignment="1" applyFont="1" applyNumberFormat="1">
      <alignment horizontal="right" vertical="bottom"/>
    </xf>
    <xf borderId="37" fillId="6" fontId="15" numFmtId="4" xfId="0" applyAlignment="1" applyBorder="1" applyFont="1" applyNumberFormat="1">
      <alignment horizontal="right" vertical="bottom"/>
    </xf>
    <xf borderId="38" fillId="3" fontId="8" numFmtId="0" xfId="0" applyAlignment="1" applyBorder="1" applyFont="1">
      <alignment horizontal="right" readingOrder="0" vertical="bottom"/>
    </xf>
    <xf borderId="39" fillId="3" fontId="8" numFmtId="166" xfId="0" applyAlignment="1" applyBorder="1" applyFont="1" applyNumberFormat="1">
      <alignment horizontal="right" vertical="bottom"/>
    </xf>
    <xf borderId="40" fillId="3" fontId="8" numFmtId="3" xfId="0" applyAlignment="1" applyBorder="1" applyFont="1" applyNumberFormat="1">
      <alignment horizontal="right" vertical="bottom"/>
    </xf>
    <xf borderId="41" fillId="3" fontId="8" numFmtId="3" xfId="0" applyAlignment="1" applyBorder="1" applyFont="1" applyNumberFormat="1">
      <alignment horizontal="right" vertical="bottom"/>
    </xf>
    <xf borderId="42" fillId="3" fontId="5" numFmtId="4" xfId="0" applyAlignment="1" applyBorder="1" applyFont="1" applyNumberFormat="1">
      <alignment horizontal="right" vertical="bottom"/>
    </xf>
    <xf borderId="39" fillId="3" fontId="8" numFmtId="3" xfId="0" applyAlignment="1" applyBorder="1" applyFont="1" applyNumberFormat="1">
      <alignment horizontal="right" vertical="bottom"/>
    </xf>
    <xf borderId="43" fillId="3" fontId="8" numFmtId="3" xfId="0" applyAlignment="1" applyBorder="1" applyFont="1" applyNumberFormat="1">
      <alignment horizontal="right" vertical="bottom"/>
    </xf>
    <xf borderId="45" fillId="7" fontId="5" numFmtId="4" xfId="0" applyAlignment="1" applyBorder="1" applyFill="1" applyFont="1" applyNumberFormat="1">
      <alignment horizontal="right" vertical="bottom"/>
    </xf>
    <xf borderId="0" fillId="5" fontId="8" numFmtId="0" xfId="0" applyAlignment="1" applyFont="1">
      <alignment vertical="bottom"/>
    </xf>
    <xf borderId="0" fillId="0" fontId="8" numFmtId="11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0" fontId="8" numFmtId="164" xfId="0" applyAlignment="1" applyFont="1" applyNumberFormat="1">
      <alignment vertical="bottom"/>
    </xf>
    <xf borderId="0" fillId="0" fontId="8" numFmtId="10" xfId="0" applyAlignment="1" applyFont="1" applyNumberFormat="1">
      <alignment vertical="bottom"/>
    </xf>
    <xf borderId="0" fillId="0" fontId="8" numFmtId="2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0" fontId="8" numFmtId="167" xfId="0" applyAlignment="1" applyFont="1" applyNumberFormat="1">
      <alignment vertical="bottom"/>
    </xf>
    <xf borderId="0" fillId="0" fontId="8" numFmtId="168" xfId="0" applyAlignment="1" applyFont="1" applyNumberFormat="1">
      <alignment vertical="bottom"/>
    </xf>
    <xf borderId="2" fillId="3" fontId="2" numFmtId="0" xfId="0" applyBorder="1" applyFont="1"/>
    <xf borderId="0" fillId="0" fontId="8" numFmtId="2" xfId="0" applyFont="1" applyNumberFormat="1"/>
    <xf borderId="5" fillId="2" fontId="5" numFmtId="166" xfId="0" applyAlignment="1" applyBorder="1" applyFont="1" applyNumberFormat="1">
      <alignment horizontal="center" shrinkToFit="0" wrapText="1"/>
    </xf>
    <xf borderId="6" fillId="2" fontId="5" numFmtId="3" xfId="0" applyAlignment="1" applyBorder="1" applyFont="1" applyNumberFormat="1">
      <alignment horizontal="center" shrinkToFit="0" wrapText="1"/>
    </xf>
    <xf borderId="6" fillId="2" fontId="5" numFmtId="4" xfId="0" applyAlignment="1" applyBorder="1" applyFont="1" applyNumberFormat="1">
      <alignment horizontal="center" shrinkToFit="0" wrapText="1"/>
    </xf>
    <xf borderId="5" fillId="2" fontId="5" numFmtId="3" xfId="0" applyAlignment="1" applyBorder="1" applyFont="1" applyNumberFormat="1">
      <alignment horizontal="center" shrinkToFit="0" wrapText="1"/>
    </xf>
    <xf borderId="7" fillId="2" fontId="5" numFmtId="3" xfId="0" applyAlignment="1" applyBorder="1" applyFont="1" applyNumberFormat="1">
      <alignment horizontal="center" shrinkToFit="0" wrapText="1"/>
    </xf>
    <xf borderId="8" fillId="2" fontId="5" numFmtId="4" xfId="0" applyAlignment="1" applyBorder="1" applyFont="1" applyNumberFormat="1">
      <alignment horizontal="center" shrinkToFit="0" wrapText="1"/>
    </xf>
    <xf borderId="9" fillId="2" fontId="5" numFmtId="11" xfId="0" applyAlignment="1" applyBorder="1" applyFont="1" applyNumberFormat="1">
      <alignment horizontal="center" shrinkToFit="0" wrapText="1"/>
    </xf>
    <xf borderId="0" fillId="0" fontId="5" numFmtId="11" xfId="0" applyAlignment="1" applyFont="1" applyNumberFormat="1">
      <alignment horizontal="center"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0" fontId="5" numFmtId="164" xfId="0" applyAlignment="1" applyFont="1" applyNumberFormat="1">
      <alignment horizontal="center" shrinkToFit="0" vertical="bottom" wrapText="1"/>
    </xf>
    <xf borderId="0" fillId="0" fontId="5" numFmtId="10" xfId="0" applyAlignment="1" applyFont="1" applyNumberFormat="1">
      <alignment horizontal="center" shrinkToFit="0" vertical="bottom" wrapText="1"/>
    </xf>
    <xf borderId="0" fillId="0" fontId="5" numFmtId="2" xfId="0" applyAlignment="1" applyFont="1" applyNumberFormat="1">
      <alignment horizontal="center"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0" fillId="0" fontId="5" numFmtId="2" xfId="0" applyAlignment="1" applyFont="1" applyNumberFormat="1">
      <alignment horizontal="center" vertical="bottom"/>
    </xf>
    <xf borderId="0" fillId="3" fontId="8" numFmtId="11" xfId="0" applyAlignment="1" applyFont="1" applyNumberFormat="1">
      <alignment horizontal="right" vertical="bottom"/>
    </xf>
    <xf borderId="0" fillId="5" fontId="8" numFmtId="0" xfId="0" applyAlignment="1" applyFont="1">
      <alignment vertical="bottom"/>
    </xf>
    <xf borderId="18" fillId="3" fontId="8" numFmtId="0" xfId="0" applyAlignment="1" applyBorder="1" applyFont="1">
      <alignment horizontal="right" vertical="bottom"/>
    </xf>
    <xf borderId="19" fillId="3" fontId="8" numFmtId="166" xfId="0" applyAlignment="1" applyBorder="1" applyFont="1" applyNumberFormat="1">
      <alignment horizontal="right" vertical="bottom"/>
    </xf>
    <xf borderId="20" fillId="3" fontId="8" numFmtId="3" xfId="0" applyAlignment="1" applyBorder="1" applyFont="1" applyNumberFormat="1">
      <alignment horizontal="right" vertical="bottom"/>
    </xf>
    <xf borderId="21" fillId="5" fontId="8" numFmtId="3" xfId="0" applyAlignment="1" applyBorder="1" applyFont="1" applyNumberFormat="1">
      <alignment horizontal="right" vertical="bottom"/>
    </xf>
    <xf borderId="22" fillId="3" fontId="8" numFmtId="4" xfId="0" applyAlignment="1" applyBorder="1" applyFont="1" applyNumberFormat="1">
      <alignment horizontal="right" vertical="bottom"/>
    </xf>
    <xf borderId="19" fillId="3" fontId="8" numFmtId="3" xfId="0" applyAlignment="1" applyBorder="1" applyFont="1" applyNumberFormat="1">
      <alignment horizontal="right" vertical="bottom"/>
    </xf>
    <xf borderId="23" fillId="3" fontId="8" numFmtId="3" xfId="0" applyAlignment="1" applyBorder="1" applyFont="1" applyNumberFormat="1">
      <alignment horizontal="right" vertical="bottom"/>
    </xf>
    <xf borderId="24" fillId="3" fontId="8" numFmtId="4" xfId="0" applyAlignment="1" applyBorder="1" applyFont="1" applyNumberFormat="1">
      <alignment horizontal="right" vertical="bottom"/>
    </xf>
    <xf borderId="26" fillId="5" fontId="8" numFmtId="0" xfId="0" applyAlignment="1" applyBorder="1" applyFont="1">
      <alignment horizontal="right" readingOrder="0" vertical="bottom"/>
    </xf>
    <xf borderId="27" fillId="5" fontId="8" numFmtId="166" xfId="0" applyAlignment="1" applyBorder="1" applyFont="1" applyNumberFormat="1">
      <alignment horizontal="right" vertical="bottom"/>
    </xf>
    <xf borderId="28" fillId="5" fontId="8" numFmtId="3" xfId="0" applyAlignment="1" applyBorder="1" applyFont="1" applyNumberFormat="1">
      <alignment horizontal="right" vertical="bottom"/>
    </xf>
    <xf borderId="29" fillId="5" fontId="8" numFmtId="3" xfId="0" applyAlignment="1" applyBorder="1" applyFont="1" applyNumberFormat="1">
      <alignment horizontal="right" vertical="bottom"/>
    </xf>
    <xf borderId="27" fillId="5" fontId="8" numFmtId="3" xfId="0" applyAlignment="1" applyBorder="1" applyFont="1" applyNumberFormat="1">
      <alignment horizontal="right" vertical="bottom"/>
    </xf>
    <xf borderId="30" fillId="5" fontId="8" numFmtId="3" xfId="0" applyAlignment="1" applyBorder="1" applyFont="1" applyNumberFormat="1">
      <alignment horizontal="right" vertical="bottom"/>
    </xf>
    <xf borderId="31" fillId="3" fontId="8" numFmtId="0" xfId="0" applyAlignment="1" applyBorder="1" applyFont="1">
      <alignment horizontal="right" readingOrder="0" vertical="bottom"/>
    </xf>
    <xf borderId="32" fillId="3" fontId="8" numFmtId="166" xfId="0" applyAlignment="1" applyBorder="1" applyFont="1" applyNumberFormat="1">
      <alignment horizontal="right" vertical="bottom"/>
    </xf>
    <xf borderId="33" fillId="3" fontId="8" numFmtId="3" xfId="0" applyAlignment="1" applyBorder="1" applyFont="1" applyNumberFormat="1">
      <alignment horizontal="right" vertical="bottom"/>
    </xf>
    <xf borderId="34" fillId="3" fontId="8" numFmtId="3" xfId="0" applyAlignment="1" applyBorder="1" applyFont="1" applyNumberFormat="1">
      <alignment horizontal="right" vertical="bottom"/>
    </xf>
    <xf borderId="35" fillId="3" fontId="5" numFmtId="4" xfId="0" applyAlignment="1" applyBorder="1" applyFont="1" applyNumberFormat="1">
      <alignment horizontal="right" vertical="bottom"/>
    </xf>
    <xf borderId="32" fillId="3" fontId="8" numFmtId="3" xfId="0" applyAlignment="1" applyBorder="1" applyFont="1" applyNumberFormat="1">
      <alignment horizontal="right" vertical="bottom"/>
    </xf>
    <xf borderId="36" fillId="3" fontId="8" numFmtId="3" xfId="0" applyAlignment="1" applyBorder="1" applyFont="1" applyNumberFormat="1">
      <alignment horizontal="right" vertical="bottom"/>
    </xf>
    <xf borderId="38" fillId="5" fontId="5" numFmtId="0" xfId="0" applyAlignment="1" applyBorder="1" applyFont="1">
      <alignment horizontal="right" readingOrder="0" vertical="bottom"/>
    </xf>
    <xf borderId="39" fillId="5" fontId="5" numFmtId="166" xfId="0" applyAlignment="1" applyBorder="1" applyFont="1" applyNumberFormat="1">
      <alignment horizontal="right" vertical="bottom"/>
    </xf>
    <xf borderId="40" fillId="5" fontId="5" numFmtId="3" xfId="0" applyAlignment="1" applyBorder="1" applyFont="1" applyNumberFormat="1">
      <alignment horizontal="right" vertical="bottom"/>
    </xf>
    <xf borderId="41" fillId="5" fontId="5" numFmtId="3" xfId="0" applyAlignment="1" applyBorder="1" applyFont="1" applyNumberFormat="1">
      <alignment horizontal="right" vertical="bottom"/>
    </xf>
    <xf borderId="42" fillId="4" fontId="14" numFmtId="4" xfId="0" applyAlignment="1" applyBorder="1" applyFont="1" applyNumberFormat="1">
      <alignment horizontal="right" vertical="bottom"/>
    </xf>
    <xf borderId="39" fillId="5" fontId="5" numFmtId="3" xfId="0" applyAlignment="1" applyBorder="1" applyFont="1" applyNumberFormat="1">
      <alignment horizontal="right" vertical="bottom"/>
    </xf>
    <xf borderId="43" fillId="5" fontId="5" numFmtId="3" xfId="0" applyAlignment="1" applyBorder="1" applyFont="1" applyNumberFormat="1">
      <alignment horizontal="right" vertical="bottom"/>
    </xf>
    <xf borderId="44" fillId="5" fontId="5" numFmtId="4" xfId="0" applyAlignment="1" applyBorder="1" applyFont="1" applyNumberFormat="1">
      <alignment horizontal="right" vertical="bottom"/>
    </xf>
    <xf borderId="0" fillId="3" fontId="8" numFmtId="0" xfId="0" applyAlignment="1" applyFont="1">
      <alignment vertical="bottom"/>
    </xf>
    <xf borderId="2" fillId="5" fontId="2" numFmtId="0" xfId="0" applyBorder="1" applyFont="1"/>
    <xf borderId="26" fillId="3" fontId="8" numFmtId="0" xfId="0" applyAlignment="1" applyBorder="1" applyFont="1">
      <alignment horizontal="right" readingOrder="0" vertical="bottom"/>
    </xf>
    <xf borderId="27" fillId="3" fontId="8" numFmtId="166" xfId="0" applyAlignment="1" applyBorder="1" applyFont="1" applyNumberFormat="1">
      <alignment horizontal="right" vertical="bottom"/>
    </xf>
    <xf borderId="28" fillId="8" fontId="8" numFmtId="3" xfId="0" applyAlignment="1" applyBorder="1" applyFill="1" applyFont="1" applyNumberFormat="1">
      <alignment horizontal="right" vertical="bottom"/>
    </xf>
    <xf borderId="28" fillId="3" fontId="8" numFmtId="3" xfId="0" applyAlignment="1" applyBorder="1" applyFont="1" applyNumberFormat="1">
      <alignment horizontal="right" vertical="bottom"/>
    </xf>
    <xf borderId="27" fillId="3" fontId="8" numFmtId="3" xfId="0" applyAlignment="1" applyBorder="1" applyFont="1" applyNumberFormat="1">
      <alignment horizontal="right" vertical="bottom"/>
    </xf>
    <xf borderId="30" fillId="3" fontId="8" numFmtId="3" xfId="0" applyAlignment="1" applyBorder="1" applyFont="1" applyNumberFormat="1">
      <alignment horizontal="right" vertical="bottom"/>
    </xf>
    <xf borderId="31" fillId="3" fontId="8" numFmtId="0" xfId="0" applyAlignment="1" applyBorder="1" applyFont="1">
      <alignment horizontal="right" readingOrder="0" vertical="bottom"/>
    </xf>
    <xf borderId="32" fillId="3" fontId="8" numFmtId="166" xfId="0" applyAlignment="1" applyBorder="1" applyFont="1" applyNumberFormat="1">
      <alignment horizontal="right" vertical="bottom"/>
    </xf>
    <xf borderId="33" fillId="9" fontId="8" numFmtId="3" xfId="0" applyAlignment="1" applyBorder="1" applyFill="1" applyFont="1" applyNumberFormat="1">
      <alignment horizontal="right" vertical="bottom"/>
    </xf>
    <xf borderId="34" fillId="5" fontId="8" numFmtId="3" xfId="0" applyAlignment="1" applyBorder="1" applyFont="1" applyNumberFormat="1">
      <alignment horizontal="right" vertical="bottom"/>
    </xf>
    <xf borderId="33" fillId="3" fontId="8" numFmtId="3" xfId="0" applyAlignment="1" applyBorder="1" applyFont="1" applyNumberFormat="1">
      <alignment horizontal="right" vertical="bottom"/>
    </xf>
    <xf borderId="35" fillId="3" fontId="5" numFmtId="4" xfId="0" applyAlignment="1" applyBorder="1" applyFont="1" applyNumberFormat="1">
      <alignment horizontal="right" vertical="bottom"/>
    </xf>
    <xf borderId="32" fillId="3" fontId="8" numFmtId="3" xfId="0" applyAlignment="1" applyBorder="1" applyFont="1" applyNumberFormat="1">
      <alignment horizontal="right" vertical="bottom"/>
    </xf>
    <xf borderId="36" fillId="3" fontId="8" numFmtId="3" xfId="0" applyAlignment="1" applyBorder="1" applyFont="1" applyNumberFormat="1">
      <alignment horizontal="right" vertical="bottom"/>
    </xf>
    <xf borderId="0" fillId="3" fontId="8" numFmtId="4" xfId="0" applyAlignment="1" applyFont="1" applyNumberFormat="1">
      <alignment horizontal="right" vertical="bottom"/>
    </xf>
    <xf borderId="38" fillId="3" fontId="8" numFmtId="0" xfId="0" applyAlignment="1" applyBorder="1" applyFont="1">
      <alignment horizontal="right" readingOrder="0" vertical="bottom"/>
    </xf>
    <xf borderId="39" fillId="3" fontId="8" numFmtId="166" xfId="0" applyAlignment="1" applyBorder="1" applyFont="1" applyNumberFormat="1">
      <alignment horizontal="right" vertical="bottom"/>
    </xf>
    <xf borderId="40" fillId="8" fontId="8" numFmtId="3" xfId="0" applyAlignment="1" applyBorder="1" applyFont="1" applyNumberFormat="1">
      <alignment horizontal="right" vertical="bottom"/>
    </xf>
    <xf borderId="40" fillId="3" fontId="8" numFmtId="3" xfId="0" applyAlignment="1" applyBorder="1" applyFont="1" applyNumberFormat="1">
      <alignment horizontal="right" vertical="bottom"/>
    </xf>
    <xf borderId="42" fillId="10" fontId="16" numFmtId="4" xfId="0" applyAlignment="1" applyBorder="1" applyFill="1" applyFont="1" applyNumberFormat="1">
      <alignment horizontal="right" vertical="bottom"/>
    </xf>
    <xf borderId="39" fillId="3" fontId="8" numFmtId="3" xfId="0" applyAlignment="1" applyBorder="1" applyFont="1" applyNumberFormat="1">
      <alignment horizontal="right" vertical="bottom"/>
    </xf>
    <xf borderId="43" fillId="3" fontId="8" numFmtId="3" xfId="0" applyAlignment="1" applyBorder="1" applyFont="1" applyNumberFormat="1">
      <alignment horizontal="right" vertical="bottom"/>
    </xf>
    <xf borderId="44" fillId="3" fontId="8" numFmtId="4" xfId="0" applyAlignment="1" applyBorder="1" applyFont="1" applyNumberFormat="1">
      <alignment horizontal="right" vertical="bottom"/>
    </xf>
    <xf borderId="45" fillId="7" fontId="8" numFmtId="4" xfId="0" applyAlignment="1" applyBorder="1" applyFont="1" applyNumberFormat="1">
      <alignment horizontal="right" vertical="bottom"/>
    </xf>
    <xf borderId="12" fillId="2" fontId="5" numFmtId="3" xfId="0" applyAlignment="1" applyBorder="1" applyFont="1" applyNumberFormat="1">
      <alignment horizontal="center" shrinkToFit="0" wrapText="1"/>
    </xf>
    <xf borderId="12" fillId="2" fontId="5" numFmtId="3" xfId="0" applyAlignment="1" applyBorder="1" applyFont="1" applyNumberFormat="1">
      <alignment horizontal="center" shrinkToFit="0" vertical="bottom" wrapText="1"/>
    </xf>
    <xf borderId="13" fillId="2" fontId="5" numFmtId="4" xfId="0" applyAlignment="1" applyBorder="1" applyFont="1" applyNumberFormat="1">
      <alignment horizontal="center" shrinkToFit="0" wrapText="1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42" fillId="3" fontId="5" numFmtId="4" xfId="0" applyAlignment="1" applyBorder="1" applyFont="1" applyNumberFormat="1">
      <alignment horizontal="right" vertical="bottom"/>
    </xf>
    <xf borderId="0" fillId="3" fontId="8" numFmtId="0" xfId="0" applyAlignment="1" applyFont="1">
      <alignment horizontal="right" vertical="bottom"/>
    </xf>
    <xf borderId="4" fillId="2" fontId="5" numFmtId="0" xfId="0" applyAlignment="1" applyBorder="1" applyFont="1">
      <alignment horizontal="center" shrinkToFit="0" wrapText="1"/>
    </xf>
    <xf borderId="38" fillId="3" fontId="17" numFmtId="0" xfId="0" applyAlignment="1" applyBorder="1" applyFont="1">
      <alignment horizontal="right" readingOrder="0" vertical="bottom"/>
    </xf>
    <xf borderId="39" fillId="3" fontId="5" numFmtId="166" xfId="0" applyAlignment="1" applyBorder="1" applyFont="1" applyNumberFormat="1">
      <alignment horizontal="right" vertical="bottom"/>
    </xf>
    <xf borderId="40" fillId="3" fontId="5" numFmtId="3" xfId="0" applyAlignment="1" applyBorder="1" applyFont="1" applyNumberFormat="1">
      <alignment horizontal="right" vertical="bottom"/>
    </xf>
    <xf borderId="41" fillId="3" fontId="5" numFmtId="3" xfId="0" applyAlignment="1" applyBorder="1" applyFont="1" applyNumberFormat="1">
      <alignment horizontal="right" vertical="bottom"/>
    </xf>
    <xf borderId="39" fillId="3" fontId="5" numFmtId="3" xfId="0" applyAlignment="1" applyBorder="1" applyFont="1" applyNumberFormat="1">
      <alignment horizontal="right" vertical="bottom"/>
    </xf>
    <xf borderId="43" fillId="3" fontId="5" numFmtId="3" xfId="0" applyAlignment="1" applyBorder="1" applyFont="1" applyNumberFormat="1">
      <alignment horizontal="right" vertical="bottom"/>
    </xf>
    <xf borderId="44" fillId="3" fontId="5" numFmtId="4" xfId="0" applyAlignment="1" applyBorder="1" applyFont="1" applyNumberFormat="1">
      <alignment horizontal="right" vertical="bottom"/>
    </xf>
    <xf borderId="35" fillId="3" fontId="8" numFmtId="4" xfId="0" applyAlignment="1" applyBorder="1" applyFont="1" applyNumberFormat="1">
      <alignment horizontal="right" vertical="bottom"/>
    </xf>
    <xf borderId="38" fillId="3" fontId="16" numFmtId="0" xfId="0" applyAlignment="1" applyBorder="1" applyFont="1">
      <alignment horizontal="right" readingOrder="0" vertical="bottom"/>
    </xf>
    <xf borderId="0" fillId="0" fontId="6" numFmtId="167" xfId="0" applyFont="1" applyNumberFormat="1"/>
    <xf borderId="0" fillId="0" fontId="6" numFmtId="168" xfId="0" applyFont="1" applyNumberFormat="1"/>
    <xf borderId="46" fillId="11" fontId="4" numFmtId="0" xfId="0" applyAlignment="1" applyBorder="1" applyFill="1" applyFont="1">
      <alignment horizontal="center" readingOrder="0" vertical="center"/>
    </xf>
    <xf borderId="47" fillId="11" fontId="4" numFmtId="0" xfId="0" applyAlignment="1" applyBorder="1" applyFont="1">
      <alignment horizontal="center" readingOrder="0" vertical="center"/>
    </xf>
    <xf borderId="48" fillId="11" fontId="4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49" fillId="0" fontId="6" numFmtId="0" xfId="0" applyAlignment="1" applyBorder="1" applyFont="1">
      <alignment readingOrder="0" vertical="center"/>
    </xf>
    <xf borderId="50" fillId="0" fontId="6" numFmtId="0" xfId="0" applyAlignment="1" applyBorder="1" applyFont="1">
      <alignment readingOrder="0" vertical="center"/>
    </xf>
    <xf borderId="51" fillId="0" fontId="6" numFmtId="0" xfId="0" applyAlignment="1" applyBorder="1" applyFont="1">
      <alignment readingOrder="0" vertical="center"/>
    </xf>
    <xf borderId="52" fillId="0" fontId="6" numFmtId="0" xfId="0" applyAlignment="1" applyBorder="1" applyFont="1">
      <alignment readingOrder="0" vertical="center"/>
    </xf>
    <xf borderId="53" fillId="0" fontId="6" numFmtId="0" xfId="0" applyAlignment="1" applyBorder="1" applyFont="1">
      <alignment readingOrder="0" vertical="center"/>
    </xf>
    <xf borderId="54" fillId="0" fontId="6" numFmtId="0" xfId="0" applyAlignment="1" applyBorder="1" applyFont="1">
      <alignment readingOrder="0" vertical="center"/>
    </xf>
    <xf borderId="55" fillId="0" fontId="4" numFmtId="0" xfId="0" applyAlignment="1" applyBorder="1" applyFont="1">
      <alignment readingOrder="0" vertical="center"/>
    </xf>
    <xf borderId="56" fillId="0" fontId="4" numFmtId="0" xfId="0" applyAlignment="1" applyBorder="1" applyFont="1">
      <alignment readingOrder="0" vertical="center"/>
    </xf>
    <xf borderId="57" fillId="0" fontId="4" numFmtId="0" xfId="0" applyAlignment="1" applyBorder="1" applyFont="1">
      <alignment readingOrder="0" vertical="center"/>
    </xf>
    <xf borderId="58" fillId="0" fontId="4" numFmtId="0" xfId="0" applyAlignment="1" applyBorder="1" applyFont="1">
      <alignment readingOrder="0" vertical="center"/>
    </xf>
    <xf borderId="59" fillId="0" fontId="4" numFmtId="0" xfId="0" applyAlignment="1" applyBorder="1" applyFont="1">
      <alignment vertical="center"/>
    </xf>
    <xf borderId="60" fillId="0" fontId="4" numFmtId="0" xfId="0" applyAlignment="1" applyBorder="1" applyFont="1">
      <alignment readingOrder="0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>
        <b/>
        <color rgb="FF000000"/>
      </font>
      <fill>
        <patternFill patternType="solid">
          <fgColor rgb="FFFFFFFF"/>
          <bgColor rgb="FFFFFFFF"/>
        </patternFill>
      </fill>
      <border/>
    </dxf>
    <dxf>
      <font>
        <b/>
        <color rgb="FF000000"/>
      </font>
      <fill>
        <patternFill patternType="solid">
          <fgColor rgb="FFFFF2CC"/>
          <bgColor rgb="FFFFF2CC"/>
        </patternFill>
      </fill>
      <border/>
    </dxf>
    <dxf>
      <font>
        <b/>
        <color rgb="FFFFFFFF"/>
      </font>
      <fill>
        <patternFill patternType="solid">
          <fgColor rgb="FFCC0000"/>
          <bgColor rgb="FFCC0000"/>
        </patternFill>
      </fill>
      <border/>
    </dxf>
  </dxfs>
  <tableStyles count="12">
    <tableStyle count="2" pivot="0" name="12mm Tape-style">
      <tableStyleElement dxfId="1" type="firstRowStripe"/>
      <tableStyleElement dxfId="2" type="secondRowStripe"/>
    </tableStyle>
    <tableStyle count="2" pivot="0" name="12mm Tape-style 2">
      <tableStyleElement dxfId="1" type="firstRowStripe"/>
      <tableStyleElement dxfId="2" type="secondRowStripe"/>
    </tableStyle>
    <tableStyle count="2" pivot="0" name="12mm Tape-style 3">
      <tableStyleElement dxfId="1" type="firstRowStripe"/>
      <tableStyleElement dxfId="2" type="secondRowStripe"/>
    </tableStyle>
    <tableStyle count="2" pivot="0" name="12mm Tape-style 4">
      <tableStyleElement dxfId="1" type="firstRowStripe"/>
      <tableStyleElement dxfId="2" type="secondRowStripe"/>
    </tableStyle>
    <tableStyle count="2" pivot="0" name="12mm Tape-style 5">
      <tableStyleElement dxfId="1" type="firstRowStripe"/>
      <tableStyleElement dxfId="2" type="secondRowStripe"/>
    </tableStyle>
    <tableStyle count="2" pivot="0" name="12mm Tape-style 6">
      <tableStyleElement dxfId="1" type="firstRowStripe"/>
      <tableStyleElement dxfId="2" type="secondRowStripe"/>
    </tableStyle>
    <tableStyle count="2" pivot="0" name="12mm Tape-style 7">
      <tableStyleElement dxfId="1" type="firstRowStripe"/>
      <tableStyleElement dxfId="2" type="secondRowStripe"/>
    </tableStyle>
    <tableStyle count="2" pivot="0" name="12mm Tape-style 8">
      <tableStyleElement dxfId="1" type="firstRowStripe"/>
      <tableStyleElement dxfId="2" type="secondRowStripe"/>
    </tableStyle>
    <tableStyle count="2" pivot="0" name="3mm Tape-style">
      <tableStyleElement dxfId="1" type="firstRowStripe"/>
      <tableStyleElement dxfId="2" type="secondRowStripe"/>
    </tableStyle>
    <tableStyle count="2" pivot="0" name="3mm Tape-style 2">
      <tableStyleElement dxfId="1" type="firstRowStripe"/>
      <tableStyleElement dxfId="2" type="secondRowStripe"/>
    </tableStyle>
    <tableStyle count="2" pivot="0" name="3mm Tape-style 3">
      <tableStyleElement dxfId="1" type="firstRowStripe"/>
      <tableStyleElement dxfId="2" type="secondRowStripe"/>
    </tableStyle>
    <tableStyle count="2" pivot="0" name="3mm Tape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4:J7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12mm Tape-style" showColumnStripes="0" showFirstColumn="1" showLastColumn="1" showRowStripes="1"/>
</table>
</file>

<file path=xl/tables/table2.xml><?xml version="1.0" encoding="utf-8"?>
<table xmlns="http://schemas.openxmlformats.org/spreadsheetml/2006/main" headerRowCount="0" ref="A12:J15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12mm Tape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0:J23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12mm Tape-style 3" showColumnStripes="0" showFirstColumn="1" showLastColumn="1" showRowStripes="1"/>
</table>
</file>

<file path=xl/tables/table4.xml><?xml version="1.0" encoding="utf-8"?>
<table xmlns="http://schemas.openxmlformats.org/spreadsheetml/2006/main" headerRowCount="0" ref="A28:J31" displayName="Table_4" name="Table_4" id="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12mm Tape-style 4" showColumnStripes="0" showFirstColumn="1" showLastColumn="1" showRowStripes="1"/>
</table>
</file>

<file path=xl/tables/table5.xml><?xml version="1.0" encoding="utf-8"?>
<table xmlns="http://schemas.openxmlformats.org/spreadsheetml/2006/main" headerRowCount="0" ref="A36:J39" displayName="Table_5" name="Table_5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12mm Tape-style 5" showColumnStripes="0" showFirstColumn="1" showLastColumn="1" showRowStripes="1"/>
</table>
</file>

<file path=xl/tables/table6.xml><?xml version="1.0" encoding="utf-8"?>
<table xmlns="http://schemas.openxmlformats.org/spreadsheetml/2006/main" headerRowCount="0" ref="A44:J47" displayName="Table_6" name="Table_6" id="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12mm Tape-style 6" showColumnStripes="0" showFirstColumn="1" showLastColumn="1" showRowStripes="1"/>
</table>
</file>

<file path=xl/tables/table7.xml><?xml version="1.0" encoding="utf-8"?>
<table xmlns="http://schemas.openxmlformats.org/spreadsheetml/2006/main" headerRowCount="0" ref="A52:J55" displayName="Table_7" name="Table_7" id="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12mm Tape-style 7" showColumnStripes="0" showFirstColumn="1" showLastColumn="1" showRowStripes="1"/>
</table>
</file>

<file path=xl/tables/table8.xml><?xml version="1.0" encoding="utf-8"?>
<table xmlns="http://schemas.openxmlformats.org/spreadsheetml/2006/main" headerRowCount="0" ref="A60:J63" displayName="Table_8" name="Table_8" id="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12mm Tape-style 8" showColumnStripes="0" showFirstColumn="1" showLastColumn="1" showRowStripes="1"/>
</table>
</file>

<file path=xl/tables/table9.xml><?xml version="1.0" encoding="utf-8"?>
<table xmlns="http://schemas.openxmlformats.org/spreadsheetml/2006/main" headerRowCount="0" ref="A30:I31" displayName="Table_9" name="Table_9" id="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3mm Tape-style" showColumnStripes="0" showFirstColumn="1" showLastColumn="1" showRowStripes="1"/>
</table>
</file>

<file path=xl/tables/table10.xml><?xml version="1.0" encoding="utf-8"?>
<table xmlns="http://schemas.openxmlformats.org/spreadsheetml/2006/main" headerRowCount="0" ref="A36:J39" displayName="Table_10" name="Table_10" id="1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3mm Tape-style 2" showColumnStripes="0" showFirstColumn="1" showLastColumn="1" showRowStripes="1"/>
</table>
</file>

<file path=xl/tables/table11.xml><?xml version="1.0" encoding="utf-8"?>
<table xmlns="http://schemas.openxmlformats.org/spreadsheetml/2006/main" headerRowCount="0" ref="A52:J55" displayName="Table_11" name="Table_11" id="1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3mm Tape-style 3" showColumnStripes="0" showFirstColumn="1" showLastColumn="1" showRowStripes="1"/>
</table>
</file>

<file path=xl/tables/table12.xml><?xml version="1.0" encoding="utf-8"?>
<table xmlns="http://schemas.openxmlformats.org/spreadsheetml/2006/main" headerRowCount="0" ref="A60:J63" displayName="Table_12" name="Table_12" id="1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3mm Tape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0.5"/>
    <col customWidth="1" min="3" max="3" width="11.38"/>
    <col customWidth="1" min="4" max="4" width="9.63"/>
    <col customWidth="1" min="5" max="5" width="10.63"/>
    <col customWidth="1" min="6" max="6" width="9.13"/>
    <col customWidth="1" min="7" max="7" width="7.25"/>
    <col customWidth="1" min="8" max="9" width="9.63"/>
    <col customWidth="1" min="10" max="10" width="8.25"/>
    <col customWidth="1" min="11" max="11" width="7.88"/>
    <col customWidth="1" min="12" max="12" width="7.0"/>
    <col customWidth="1" min="13" max="13" width="4.5"/>
    <col customWidth="1" min="14" max="14" width="5.88"/>
    <col customWidth="1" min="15" max="15" width="5.0"/>
    <col customWidth="1" min="16" max="16" width="7.13"/>
    <col customWidth="1" min="17" max="17" width="6.38"/>
    <col customWidth="1" min="18" max="18" width="7.13"/>
    <col customWidth="1" min="19" max="19" width="6.0"/>
    <col customWidth="1" min="20" max="20" width="8.75"/>
    <col customWidth="1" min="21" max="21" width="7.13"/>
    <col customWidth="1" min="22" max="22" width="6.75"/>
    <col customWidth="1" min="23" max="23" width="7.75"/>
    <col customWidth="1" min="24" max="24" width="6.5"/>
    <col customWidth="1" min="25" max="25" width="6.13"/>
    <col customWidth="1" min="26" max="26" width="7.0"/>
    <col customWidth="1" min="27" max="27" width="6.38"/>
    <col customWidth="1" min="28" max="28" width="5.25"/>
    <col customWidth="1" min="29" max="29" width="5.75"/>
  </cols>
  <sheetData>
    <row r="1" ht="27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5"/>
      <c r="R1" s="4"/>
      <c r="S1" s="4"/>
      <c r="T1" s="4"/>
      <c r="U1" s="4"/>
      <c r="V1" s="6"/>
      <c r="W1" s="6"/>
      <c r="X1" s="6"/>
      <c r="Y1" s="6"/>
      <c r="Z1" s="6"/>
      <c r="AA1" s="4"/>
      <c r="AB1" s="4"/>
      <c r="AC1" s="4"/>
    </row>
    <row r="2">
      <c r="A2" s="7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8" t="s">
        <v>7</v>
      </c>
      <c r="H2" s="10" t="s">
        <v>8</v>
      </c>
      <c r="I2" s="11" t="s">
        <v>9</v>
      </c>
      <c r="J2" s="12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4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3" t="s">
        <v>24</v>
      </c>
      <c r="Y2" s="13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</row>
    <row r="3">
      <c r="A3" s="15" t="s">
        <v>30</v>
      </c>
      <c r="B3" s="16" t="s">
        <v>31</v>
      </c>
      <c r="C3" s="17" t="s">
        <v>32</v>
      </c>
      <c r="D3" s="18" t="s">
        <v>33</v>
      </c>
      <c r="E3" s="17" t="s">
        <v>34</v>
      </c>
      <c r="F3" s="19" t="s">
        <v>34</v>
      </c>
      <c r="G3" s="20" t="s">
        <v>35</v>
      </c>
      <c r="H3" s="21" t="s">
        <v>35</v>
      </c>
      <c r="I3" s="22" t="s">
        <v>36</v>
      </c>
      <c r="J3" s="23" t="s">
        <v>36</v>
      </c>
      <c r="K3" s="24" t="s">
        <v>37</v>
      </c>
      <c r="L3" s="25" t="s">
        <v>38</v>
      </c>
      <c r="M3" s="25" t="s">
        <v>38</v>
      </c>
      <c r="N3" s="25" t="s">
        <v>39</v>
      </c>
      <c r="O3" s="25" t="s">
        <v>38</v>
      </c>
      <c r="P3" s="26" t="s">
        <v>40</v>
      </c>
      <c r="Q3" s="26" t="s">
        <v>40</v>
      </c>
      <c r="R3" s="26" t="s">
        <v>40</v>
      </c>
      <c r="S3" s="26" t="s">
        <v>41</v>
      </c>
      <c r="T3" s="27" t="s">
        <v>42</v>
      </c>
      <c r="U3" s="25" t="s">
        <v>43</v>
      </c>
      <c r="V3" s="25" t="s">
        <v>38</v>
      </c>
      <c r="W3" s="25" t="s">
        <v>44</v>
      </c>
      <c r="X3" s="25" t="s">
        <v>38</v>
      </c>
      <c r="Y3" s="25" t="s">
        <v>30</v>
      </c>
      <c r="Z3" s="25" t="s">
        <v>35</v>
      </c>
      <c r="AA3" s="25" t="s">
        <v>30</v>
      </c>
      <c r="AB3" s="25" t="s">
        <v>30</v>
      </c>
      <c r="AC3" s="25" t="s">
        <v>30</v>
      </c>
    </row>
    <row r="4">
      <c r="A4" s="28">
        <v>10.0</v>
      </c>
      <c r="B4" s="29">
        <f t="shared" ref="B4:B7" si="1">K4*A4*U4/(L4)</f>
        <v>0.0163362818</v>
      </c>
      <c r="C4" s="30">
        <f t="shared" ref="C4:C7" si="2">2*PI()*T4*A4*B4*N4</f>
        <v>2117.338075</v>
      </c>
      <c r="D4" s="31">
        <f t="shared" ref="D4:D7" si="3">(B4*AA4)^2/(4*K4)*AB4*AC4</f>
        <v>155.4923548</v>
      </c>
      <c r="E4" s="30">
        <f t="shared" ref="E4:E7" si="4">D4*N4</f>
        <v>3887.308869</v>
      </c>
      <c r="F4" s="32">
        <f t="shared" ref="F4:F7" si="5">((B4*AA4)^2*N4/(2*K4))*S4*AC4</f>
        <v>31.40802848</v>
      </c>
      <c r="G4" s="33">
        <f t="shared" ref="G4:G7" si="6">F4*Q4</f>
        <v>3140.802848</v>
      </c>
      <c r="H4" s="34">
        <f t="shared" ref="H4:H7" si="7">B4*U4*V4*W4*X4*T4*AB4*AC4</f>
        <v>32687.39558</v>
      </c>
      <c r="I4" s="35">
        <f>((G4+H4+Z4)/1000000)/Y4</f>
        <v>1.565512699</v>
      </c>
      <c r="J4" s="36">
        <f t="shared" ref="J4:J7" si="8">(I4+(H4+F4*Q4)/1000000)*2</f>
        <v>3.202681794</v>
      </c>
      <c r="K4" s="37">
        <v>1.2566370612699998E-6</v>
      </c>
      <c r="L4" s="38">
        <v>0.5</v>
      </c>
      <c r="M4" s="38">
        <v>50.0</v>
      </c>
      <c r="N4" s="38">
        <f t="shared" ref="N4:N7" si="9">L4*M4</f>
        <v>25</v>
      </c>
      <c r="O4" s="38">
        <v>0.2</v>
      </c>
      <c r="P4" s="39">
        <v>8151.2</v>
      </c>
      <c r="Q4" s="39">
        <v>100.0</v>
      </c>
      <c r="R4" s="39">
        <f t="shared" ref="R4:R7" si="10">P4+Q4</f>
        <v>8251.2</v>
      </c>
      <c r="S4" s="40">
        <f t="shared" ref="S4:S7" si="11">Q4/R4</f>
        <v>0.01211944929</v>
      </c>
      <c r="T4" s="41">
        <f t="shared" ref="T4:T7" si="12">R4/(2*M4)</f>
        <v>82.512</v>
      </c>
      <c r="U4" s="38">
        <v>650.0</v>
      </c>
      <c r="V4" s="38">
        <v>0.012</v>
      </c>
      <c r="W4" s="38">
        <v>0.34202</v>
      </c>
      <c r="X4" s="38">
        <f t="shared" ref="X4:X7" si="13">2*(L4+M4)*A4</f>
        <v>1010</v>
      </c>
      <c r="Y4" s="38">
        <v>0.055</v>
      </c>
      <c r="Z4" s="38">
        <v>50275.0</v>
      </c>
      <c r="AA4" s="38">
        <f t="shared" ref="AA4:AA7" si="14">(2/PI())*atan(L4/(2*O4))</f>
        <v>0.570446575</v>
      </c>
      <c r="AB4" s="38">
        <v>3.0</v>
      </c>
      <c r="AC4" s="38">
        <v>3.0</v>
      </c>
    </row>
    <row r="5">
      <c r="A5" s="42">
        <v>49.0</v>
      </c>
      <c r="B5" s="43">
        <f t="shared" si="1"/>
        <v>0.0800477808</v>
      </c>
      <c r="C5" s="44">
        <f t="shared" si="2"/>
        <v>50837.28719</v>
      </c>
      <c r="D5" s="45">
        <f t="shared" si="3"/>
        <v>3733.371438</v>
      </c>
      <c r="E5" s="44">
        <f t="shared" si="4"/>
        <v>93334.28594</v>
      </c>
      <c r="F5" s="32">
        <f t="shared" si="5"/>
        <v>754.1067638</v>
      </c>
      <c r="G5" s="46">
        <f t="shared" si="6"/>
        <v>75410.67638</v>
      </c>
      <c r="H5" s="47">
        <f t="shared" si="7"/>
        <v>784824.3679</v>
      </c>
      <c r="I5" s="35">
        <f>((G5+H5+Z4)/1000000)/Y5</f>
        <v>16.55472808</v>
      </c>
      <c r="J5" s="36">
        <f t="shared" si="8"/>
        <v>34.82992625</v>
      </c>
      <c r="K5" s="37">
        <v>1.2566370612699998E-6</v>
      </c>
      <c r="L5" s="38">
        <v>0.5</v>
      </c>
      <c r="M5" s="38">
        <v>50.0</v>
      </c>
      <c r="N5" s="38">
        <f t="shared" si="9"/>
        <v>25</v>
      </c>
      <c r="O5" s="38">
        <v>0.2</v>
      </c>
      <c r="P5" s="39">
        <v>8151.2</v>
      </c>
      <c r="Q5" s="39">
        <v>100.0</v>
      </c>
      <c r="R5" s="39">
        <f t="shared" si="10"/>
        <v>8251.2</v>
      </c>
      <c r="S5" s="40">
        <f t="shared" si="11"/>
        <v>0.01211944929</v>
      </c>
      <c r="T5" s="41">
        <f t="shared" si="12"/>
        <v>82.512</v>
      </c>
      <c r="U5" s="38">
        <v>650.0</v>
      </c>
      <c r="V5" s="38">
        <v>0.012</v>
      </c>
      <c r="W5" s="38">
        <v>0.34202</v>
      </c>
      <c r="X5" s="38">
        <f t="shared" si="13"/>
        <v>4949</v>
      </c>
      <c r="Y5" s="38">
        <v>0.055</v>
      </c>
      <c r="Z5" s="38">
        <v>50275.0</v>
      </c>
      <c r="AA5" s="38">
        <f t="shared" si="14"/>
        <v>0.570446575</v>
      </c>
      <c r="AB5" s="38">
        <v>3.0</v>
      </c>
      <c r="AC5" s="38">
        <v>3.0</v>
      </c>
    </row>
    <row r="6">
      <c r="A6" s="48">
        <v>69.0</v>
      </c>
      <c r="B6" s="49">
        <f t="shared" si="1"/>
        <v>0.1127203444</v>
      </c>
      <c r="C6" s="50">
        <f t="shared" si="2"/>
        <v>100806.4658</v>
      </c>
      <c r="D6" s="51">
        <f t="shared" si="3"/>
        <v>7402.99101</v>
      </c>
      <c r="E6" s="50">
        <f t="shared" si="4"/>
        <v>185074.7752</v>
      </c>
      <c r="F6" s="52">
        <f t="shared" si="5"/>
        <v>1495.336236</v>
      </c>
      <c r="G6" s="53">
        <f t="shared" si="6"/>
        <v>149533.6236</v>
      </c>
      <c r="H6" s="54">
        <f t="shared" si="7"/>
        <v>1556246.904</v>
      </c>
      <c r="I6" s="55">
        <f>((G6+H6+Z4)/1000000)/Y6</f>
        <v>31.92828231</v>
      </c>
      <c r="J6" s="56">
        <f t="shared" si="8"/>
        <v>67.26812568</v>
      </c>
      <c r="K6" s="37">
        <v>1.2566370612699998E-6</v>
      </c>
      <c r="L6" s="38">
        <v>0.5</v>
      </c>
      <c r="M6" s="38">
        <v>50.0</v>
      </c>
      <c r="N6" s="38">
        <f t="shared" si="9"/>
        <v>25</v>
      </c>
      <c r="O6" s="38">
        <v>0.2</v>
      </c>
      <c r="P6" s="39">
        <v>8151.2</v>
      </c>
      <c r="Q6" s="39">
        <v>100.0</v>
      </c>
      <c r="R6" s="39">
        <f t="shared" si="10"/>
        <v>8251.2</v>
      </c>
      <c r="S6" s="40">
        <f t="shared" si="11"/>
        <v>0.01211944929</v>
      </c>
      <c r="T6" s="41">
        <f t="shared" si="12"/>
        <v>82.512</v>
      </c>
      <c r="U6" s="38">
        <v>650.0</v>
      </c>
      <c r="V6" s="38">
        <v>0.012</v>
      </c>
      <c r="W6" s="38">
        <v>0.34202</v>
      </c>
      <c r="X6" s="38">
        <f t="shared" si="13"/>
        <v>6969</v>
      </c>
      <c r="Y6" s="38">
        <v>0.055</v>
      </c>
      <c r="Z6" s="38">
        <v>50275.0</v>
      </c>
      <c r="AA6" s="38">
        <f t="shared" si="14"/>
        <v>0.570446575</v>
      </c>
      <c r="AB6" s="38">
        <v>3.0</v>
      </c>
      <c r="AC6" s="38">
        <v>3.0</v>
      </c>
    </row>
    <row r="7">
      <c r="A7" s="57">
        <v>32.0</v>
      </c>
      <c r="B7" s="58">
        <f t="shared" si="1"/>
        <v>0.05227610175</v>
      </c>
      <c r="C7" s="59">
        <f t="shared" si="2"/>
        <v>21681.54189</v>
      </c>
      <c r="D7" s="60">
        <f t="shared" si="3"/>
        <v>1592.241713</v>
      </c>
      <c r="E7" s="59">
        <f t="shared" si="4"/>
        <v>39806.04282</v>
      </c>
      <c r="F7" s="61">
        <f t="shared" si="5"/>
        <v>321.6182116</v>
      </c>
      <c r="G7" s="62">
        <f t="shared" si="6"/>
        <v>32161.82116</v>
      </c>
      <c r="H7" s="63">
        <f t="shared" si="7"/>
        <v>334718.9308</v>
      </c>
      <c r="I7" s="64">
        <f>((G7+H7+Z4)/1000000)/Y7</f>
        <v>7.584650035</v>
      </c>
      <c r="J7" s="65">
        <f t="shared" si="8"/>
        <v>15.90306157</v>
      </c>
      <c r="K7" s="37">
        <v>1.2566370612699998E-6</v>
      </c>
      <c r="L7" s="38">
        <v>0.5</v>
      </c>
      <c r="M7" s="38">
        <v>50.0</v>
      </c>
      <c r="N7" s="38">
        <f t="shared" si="9"/>
        <v>25</v>
      </c>
      <c r="O7" s="38">
        <v>0.2</v>
      </c>
      <c r="P7" s="39">
        <v>8151.2</v>
      </c>
      <c r="Q7" s="39">
        <v>100.0</v>
      </c>
      <c r="R7" s="39">
        <f t="shared" si="10"/>
        <v>8251.2</v>
      </c>
      <c r="S7" s="40">
        <f t="shared" si="11"/>
        <v>0.01211944929</v>
      </c>
      <c r="T7" s="41">
        <f t="shared" si="12"/>
        <v>82.512</v>
      </c>
      <c r="U7" s="38">
        <v>650.0</v>
      </c>
      <c r="V7" s="38">
        <v>0.012</v>
      </c>
      <c r="W7" s="38">
        <v>0.34202</v>
      </c>
      <c r="X7" s="38">
        <f t="shared" si="13"/>
        <v>3232</v>
      </c>
      <c r="Y7" s="38">
        <v>0.055</v>
      </c>
      <c r="Z7" s="38">
        <v>50275.0</v>
      </c>
      <c r="AA7" s="38">
        <f t="shared" si="14"/>
        <v>0.570446575</v>
      </c>
      <c r="AB7" s="38">
        <v>3.0</v>
      </c>
      <c r="AC7" s="38">
        <v>3.0</v>
      </c>
    </row>
    <row r="8">
      <c r="Q8" s="66"/>
      <c r="R8" s="39"/>
      <c r="S8" s="40"/>
      <c r="T8" s="41"/>
    </row>
    <row r="9" ht="27.0" customHeight="1">
      <c r="A9" s="1" t="s">
        <v>45</v>
      </c>
      <c r="B9" s="2"/>
      <c r="C9" s="2"/>
      <c r="D9" s="2"/>
      <c r="E9" s="2"/>
      <c r="F9" s="2"/>
      <c r="G9" s="2"/>
      <c r="H9" s="2"/>
      <c r="I9" s="2"/>
      <c r="J9" s="3"/>
      <c r="K9" s="67"/>
      <c r="L9" s="67"/>
      <c r="M9" s="67"/>
      <c r="N9" s="67"/>
      <c r="O9" s="67"/>
      <c r="P9" s="67"/>
      <c r="Q9" s="68"/>
      <c r="R9" s="69"/>
      <c r="S9" s="70"/>
      <c r="T9" s="4"/>
      <c r="U9" s="67"/>
      <c r="V9" s="67"/>
      <c r="W9" s="67"/>
      <c r="X9" s="67"/>
      <c r="Y9" s="67"/>
      <c r="Z9" s="67"/>
      <c r="AA9" s="67"/>
      <c r="AB9" s="67"/>
      <c r="AC9" s="67"/>
    </row>
    <row r="10">
      <c r="A10" s="7" t="s">
        <v>1</v>
      </c>
      <c r="B10" s="8" t="s">
        <v>2</v>
      </c>
      <c r="C10" s="9" t="s">
        <v>3</v>
      </c>
      <c r="D10" s="9" t="s">
        <v>4</v>
      </c>
      <c r="E10" s="9" t="s">
        <v>5</v>
      </c>
      <c r="F10" s="9" t="s">
        <v>6</v>
      </c>
      <c r="G10" s="8" t="s">
        <v>7</v>
      </c>
      <c r="H10" s="10" t="s">
        <v>8</v>
      </c>
      <c r="I10" s="11" t="s">
        <v>9</v>
      </c>
      <c r="J10" s="12" t="s">
        <v>10</v>
      </c>
      <c r="K10" s="71" t="s">
        <v>11</v>
      </c>
      <c r="L10" s="71" t="s">
        <v>12</v>
      </c>
      <c r="M10" s="71" t="s">
        <v>13</v>
      </c>
      <c r="N10" s="71" t="s">
        <v>14</v>
      </c>
      <c r="O10" s="71" t="s">
        <v>15</v>
      </c>
      <c r="P10" s="71" t="s">
        <v>16</v>
      </c>
      <c r="Q10" s="72" t="s">
        <v>17</v>
      </c>
      <c r="R10" s="71" t="s">
        <v>18</v>
      </c>
      <c r="S10" s="71" t="s">
        <v>19</v>
      </c>
      <c r="T10" s="71" t="s">
        <v>20</v>
      </c>
      <c r="U10" s="71" t="s">
        <v>21</v>
      </c>
      <c r="V10" s="13" t="s">
        <v>22</v>
      </c>
      <c r="W10" s="13" t="s">
        <v>23</v>
      </c>
      <c r="X10" s="13" t="s">
        <v>24</v>
      </c>
      <c r="Y10" s="13" t="s">
        <v>25</v>
      </c>
      <c r="Z10" s="13" t="s">
        <v>26</v>
      </c>
      <c r="AA10" s="13" t="s">
        <v>27</v>
      </c>
      <c r="AB10" s="13" t="s">
        <v>28</v>
      </c>
      <c r="AC10" s="13" t="s">
        <v>29</v>
      </c>
    </row>
    <row r="11">
      <c r="A11" s="15" t="s">
        <v>30</v>
      </c>
      <c r="B11" s="16" t="s">
        <v>31</v>
      </c>
      <c r="C11" s="17" t="s">
        <v>32</v>
      </c>
      <c r="D11" s="18" t="s">
        <v>33</v>
      </c>
      <c r="E11" s="17" t="s">
        <v>34</v>
      </c>
      <c r="F11" s="19" t="s">
        <v>34</v>
      </c>
      <c r="G11" s="20" t="s">
        <v>35</v>
      </c>
      <c r="H11" s="21" t="s">
        <v>35</v>
      </c>
      <c r="I11" s="22" t="s">
        <v>36</v>
      </c>
      <c r="J11" s="23" t="s">
        <v>36</v>
      </c>
      <c r="K11" s="24" t="s">
        <v>37</v>
      </c>
      <c r="L11" s="73" t="s">
        <v>38</v>
      </c>
      <c r="M11" s="73" t="s">
        <v>38</v>
      </c>
      <c r="N11" s="73" t="s">
        <v>39</v>
      </c>
      <c r="O11" s="73" t="s">
        <v>38</v>
      </c>
      <c r="P11" s="74" t="s">
        <v>40</v>
      </c>
      <c r="Q11" s="74" t="s">
        <v>40</v>
      </c>
      <c r="R11" s="74" t="s">
        <v>40</v>
      </c>
      <c r="S11" s="74" t="s">
        <v>41</v>
      </c>
      <c r="T11" s="75" t="s">
        <v>42</v>
      </c>
      <c r="U11" s="73" t="s">
        <v>43</v>
      </c>
      <c r="V11" s="25" t="s">
        <v>38</v>
      </c>
      <c r="W11" s="25" t="s">
        <v>44</v>
      </c>
      <c r="X11" s="25" t="s">
        <v>38</v>
      </c>
      <c r="Y11" s="25" t="s">
        <v>30</v>
      </c>
      <c r="Z11" s="25" t="s">
        <v>36</v>
      </c>
      <c r="AA11" s="25" t="s">
        <v>30</v>
      </c>
      <c r="AB11" s="25" t="s">
        <v>30</v>
      </c>
      <c r="AC11" s="25" t="s">
        <v>30</v>
      </c>
    </row>
    <row r="12">
      <c r="A12" s="28">
        <v>10.0</v>
      </c>
      <c r="B12" s="29">
        <f t="shared" ref="B12:B15" si="15">K12*A12*U12/(L12)</f>
        <v>0.008168140898</v>
      </c>
      <c r="C12" s="30">
        <f t="shared" ref="C12:C15" si="16">2*PI()*T12*A12*B12*N12</f>
        <v>2117.338075</v>
      </c>
      <c r="D12" s="31">
        <f t="shared" ref="D12:D15" si="17">(B12*AA12)^2/(4*K12)*AB12*AC12</f>
        <v>68.59380185</v>
      </c>
      <c r="E12" s="30">
        <f t="shared" ref="E12:E15" si="18">D12*N12</f>
        <v>3429.690092</v>
      </c>
      <c r="F12" s="32">
        <f t="shared" ref="F12:F15" si="19">((B12*AA12)^2*N12/(2*K12))*S12*AC12</f>
        <v>27.71063677</v>
      </c>
      <c r="G12" s="33">
        <f t="shared" ref="G12:G15" si="20">F12*Q12</f>
        <v>2771.063677</v>
      </c>
      <c r="H12" s="34">
        <f t="shared" ref="H12:H15" si="21">B12*U12*V12*W12*X12*T12*AB12*AC12</f>
        <v>16505.51658</v>
      </c>
      <c r="I12" s="35">
        <f>((G12+H12+Z12)/1000000)/Y12</f>
        <v>0.3504850956</v>
      </c>
      <c r="J12" s="36">
        <f t="shared" ref="J12:J15" si="22">(I12+(H12+F12*Q12)/1000000)*2</f>
        <v>0.7395233518</v>
      </c>
      <c r="K12" s="37">
        <v>1.2566370612699998E-6</v>
      </c>
      <c r="L12" s="38">
        <v>1.0</v>
      </c>
      <c r="M12" s="38">
        <v>50.0</v>
      </c>
      <c r="N12" s="38">
        <f t="shared" ref="N12:N15" si="23">L12*M12</f>
        <v>50</v>
      </c>
      <c r="O12" s="38">
        <v>0.2</v>
      </c>
      <c r="P12" s="39">
        <v>8151.2</v>
      </c>
      <c r="Q12" s="39">
        <v>100.0</v>
      </c>
      <c r="R12" s="39">
        <f t="shared" ref="R12:R15" si="24">P12+Q12</f>
        <v>8251.2</v>
      </c>
      <c r="S12" s="40">
        <f t="shared" ref="S12:S15" si="25">Q12/R12</f>
        <v>0.01211944929</v>
      </c>
      <c r="T12" s="41">
        <f t="shared" ref="T12:T15" si="26">R12/(2*M12)</f>
        <v>82.512</v>
      </c>
      <c r="U12" s="38">
        <v>650.0</v>
      </c>
      <c r="V12" s="38">
        <v>0.012</v>
      </c>
      <c r="W12" s="38">
        <v>0.34202</v>
      </c>
      <c r="X12" s="38">
        <f t="shared" ref="X12:X15" si="27">2*(L12+M12)*A12</f>
        <v>1020</v>
      </c>
      <c r="Y12" s="38">
        <v>0.055</v>
      </c>
      <c r="Z12" s="38">
        <v>0.1</v>
      </c>
      <c r="AA12" s="38">
        <f t="shared" ref="AA12:AA15" si="28">(2/PI())*atan(L12/(2*O12))</f>
        <v>0.7577621168</v>
      </c>
      <c r="AB12" s="38">
        <v>3.0</v>
      </c>
      <c r="AC12" s="38">
        <v>3.0</v>
      </c>
    </row>
    <row r="13">
      <c r="A13" s="42">
        <v>49.0</v>
      </c>
      <c r="B13" s="43">
        <f t="shared" si="15"/>
        <v>0.0400238904</v>
      </c>
      <c r="C13" s="44">
        <f t="shared" si="16"/>
        <v>50837.28719</v>
      </c>
      <c r="D13" s="45">
        <f t="shared" si="17"/>
        <v>1646.937182</v>
      </c>
      <c r="E13" s="44">
        <f t="shared" si="18"/>
        <v>82346.85912</v>
      </c>
      <c r="F13" s="32">
        <f t="shared" si="19"/>
        <v>665.332389</v>
      </c>
      <c r="G13" s="46">
        <f t="shared" si="20"/>
        <v>66533.2389</v>
      </c>
      <c r="H13" s="47">
        <f t="shared" si="21"/>
        <v>396297.4531</v>
      </c>
      <c r="I13" s="35">
        <f>((G13+H13+Z12)/1000000)/Y13</f>
        <v>8.415105309</v>
      </c>
      <c r="J13" s="36">
        <f t="shared" si="22"/>
        <v>17.755872</v>
      </c>
      <c r="K13" s="37">
        <v>1.2566370612699998E-6</v>
      </c>
      <c r="L13" s="38">
        <v>1.0</v>
      </c>
      <c r="M13" s="38">
        <v>50.0</v>
      </c>
      <c r="N13" s="38">
        <f t="shared" si="23"/>
        <v>50</v>
      </c>
      <c r="O13" s="38">
        <v>0.2</v>
      </c>
      <c r="P13" s="39">
        <v>8151.2</v>
      </c>
      <c r="Q13" s="39">
        <v>100.0</v>
      </c>
      <c r="R13" s="39">
        <f t="shared" si="24"/>
        <v>8251.2</v>
      </c>
      <c r="S13" s="40">
        <f t="shared" si="25"/>
        <v>0.01211944929</v>
      </c>
      <c r="T13" s="41">
        <f t="shared" si="26"/>
        <v>82.512</v>
      </c>
      <c r="U13" s="38">
        <v>650.0</v>
      </c>
      <c r="V13" s="38">
        <v>0.012</v>
      </c>
      <c r="W13" s="38">
        <v>0.34202</v>
      </c>
      <c r="X13" s="38">
        <f t="shared" si="27"/>
        <v>4998</v>
      </c>
      <c r="Y13" s="38">
        <v>0.055</v>
      </c>
      <c r="Z13" s="38">
        <v>0.1</v>
      </c>
      <c r="AA13" s="38">
        <f t="shared" si="28"/>
        <v>0.7577621168</v>
      </c>
      <c r="AB13" s="38">
        <v>3.0</v>
      </c>
      <c r="AC13" s="38">
        <v>3.0</v>
      </c>
    </row>
    <row r="14">
      <c r="A14" s="48">
        <v>69.0</v>
      </c>
      <c r="B14" s="49">
        <f t="shared" si="15"/>
        <v>0.0563601722</v>
      </c>
      <c r="C14" s="50">
        <f t="shared" si="16"/>
        <v>100806.4658</v>
      </c>
      <c r="D14" s="51">
        <f t="shared" si="17"/>
        <v>3265.750906</v>
      </c>
      <c r="E14" s="50">
        <f t="shared" si="18"/>
        <v>163287.5453</v>
      </c>
      <c r="F14" s="52">
        <f t="shared" si="19"/>
        <v>1319.303417</v>
      </c>
      <c r="G14" s="53">
        <f t="shared" si="20"/>
        <v>131930.3417</v>
      </c>
      <c r="H14" s="54">
        <f t="shared" si="21"/>
        <v>785827.6444</v>
      </c>
      <c r="I14" s="55">
        <f>((G14+H14+Z12)/1000000)/Y14</f>
        <v>16.68651066</v>
      </c>
      <c r="J14" s="56">
        <f t="shared" si="22"/>
        <v>35.20853729</v>
      </c>
      <c r="K14" s="37">
        <v>1.2566370612699998E-6</v>
      </c>
      <c r="L14" s="38">
        <v>1.0</v>
      </c>
      <c r="M14" s="38">
        <v>50.0</v>
      </c>
      <c r="N14" s="38">
        <f t="shared" si="23"/>
        <v>50</v>
      </c>
      <c r="O14" s="38">
        <v>0.2</v>
      </c>
      <c r="P14" s="39">
        <v>8151.2</v>
      </c>
      <c r="Q14" s="39">
        <v>100.0</v>
      </c>
      <c r="R14" s="39">
        <f t="shared" si="24"/>
        <v>8251.2</v>
      </c>
      <c r="S14" s="40">
        <f t="shared" si="25"/>
        <v>0.01211944929</v>
      </c>
      <c r="T14" s="41">
        <f t="shared" si="26"/>
        <v>82.512</v>
      </c>
      <c r="U14" s="38">
        <v>650.0</v>
      </c>
      <c r="V14" s="38">
        <v>0.012</v>
      </c>
      <c r="W14" s="38">
        <v>0.34202</v>
      </c>
      <c r="X14" s="38">
        <f t="shared" si="27"/>
        <v>7038</v>
      </c>
      <c r="Y14" s="38">
        <v>0.055</v>
      </c>
      <c r="Z14" s="38">
        <v>0.1</v>
      </c>
      <c r="AA14" s="38">
        <f t="shared" si="28"/>
        <v>0.7577621168</v>
      </c>
      <c r="AB14" s="38">
        <v>3.0</v>
      </c>
      <c r="AC14" s="38">
        <v>3.0</v>
      </c>
    </row>
    <row r="15">
      <c r="A15" s="57">
        <v>46.0</v>
      </c>
      <c r="B15" s="58">
        <f t="shared" si="15"/>
        <v>0.03757344813</v>
      </c>
      <c r="C15" s="59">
        <f t="shared" si="16"/>
        <v>44802.87368</v>
      </c>
      <c r="D15" s="60">
        <f t="shared" si="17"/>
        <v>1451.444847</v>
      </c>
      <c r="E15" s="59">
        <f t="shared" si="18"/>
        <v>72572.24235</v>
      </c>
      <c r="F15" s="61">
        <f t="shared" si="19"/>
        <v>586.3570742</v>
      </c>
      <c r="G15" s="62">
        <f t="shared" si="20"/>
        <v>58635.70742</v>
      </c>
      <c r="H15" s="63">
        <f t="shared" si="21"/>
        <v>349256.7309</v>
      </c>
      <c r="I15" s="64">
        <f>((G15+H15+Z12)/1000000)/Y15</f>
        <v>7.416227969</v>
      </c>
      <c r="J15" s="65">
        <f t="shared" si="22"/>
        <v>15.64824081</v>
      </c>
      <c r="K15" s="37">
        <v>1.2566370612699998E-6</v>
      </c>
      <c r="L15" s="38">
        <v>1.0</v>
      </c>
      <c r="M15" s="38">
        <v>50.0</v>
      </c>
      <c r="N15" s="38">
        <f t="shared" si="23"/>
        <v>50</v>
      </c>
      <c r="O15" s="38">
        <v>0.2</v>
      </c>
      <c r="P15" s="39">
        <v>8151.2</v>
      </c>
      <c r="Q15" s="39">
        <v>100.0</v>
      </c>
      <c r="R15" s="39">
        <f t="shared" si="24"/>
        <v>8251.2</v>
      </c>
      <c r="S15" s="40">
        <f t="shared" si="25"/>
        <v>0.01211944929</v>
      </c>
      <c r="T15" s="41">
        <f t="shared" si="26"/>
        <v>82.512</v>
      </c>
      <c r="U15" s="38">
        <v>650.0</v>
      </c>
      <c r="V15" s="38">
        <v>0.012</v>
      </c>
      <c r="W15" s="38">
        <v>0.34202</v>
      </c>
      <c r="X15" s="38">
        <f t="shared" si="27"/>
        <v>4692</v>
      </c>
      <c r="Y15" s="38">
        <v>0.055</v>
      </c>
      <c r="Z15" s="38">
        <v>0.1</v>
      </c>
      <c r="AA15" s="38">
        <f t="shared" si="28"/>
        <v>0.7577621168</v>
      </c>
      <c r="AB15" s="38">
        <v>3.0</v>
      </c>
      <c r="AC15" s="38">
        <v>3.0</v>
      </c>
    </row>
    <row r="16">
      <c r="Q16" s="66"/>
      <c r="R16" s="39"/>
      <c r="S16" s="40"/>
      <c r="T16" s="41"/>
    </row>
    <row r="17" ht="25.5" customHeight="1">
      <c r="A17" s="1" t="s">
        <v>46</v>
      </c>
      <c r="B17" s="2"/>
      <c r="C17" s="2"/>
      <c r="D17" s="2"/>
      <c r="E17" s="2"/>
      <c r="F17" s="2"/>
      <c r="G17" s="2"/>
      <c r="H17" s="2"/>
      <c r="I17" s="2"/>
      <c r="J17" s="3"/>
      <c r="K17" s="67"/>
      <c r="L17" s="67"/>
      <c r="M17" s="67"/>
      <c r="N17" s="67"/>
      <c r="O17" s="67"/>
      <c r="P17" s="67"/>
      <c r="Q17" s="68"/>
      <c r="R17" s="69"/>
      <c r="S17" s="70"/>
      <c r="T17" s="4"/>
      <c r="U17" s="67"/>
      <c r="V17" s="67"/>
      <c r="W17" s="67"/>
      <c r="X17" s="67"/>
      <c r="Y17" s="67"/>
      <c r="Z17" s="67"/>
      <c r="AA17" s="67"/>
      <c r="AB17" s="67"/>
      <c r="AC17" s="67"/>
    </row>
    <row r="18">
      <c r="A18" s="7" t="s">
        <v>1</v>
      </c>
      <c r="B18" s="8" t="s">
        <v>2</v>
      </c>
      <c r="C18" s="9" t="s">
        <v>3</v>
      </c>
      <c r="D18" s="9" t="s">
        <v>4</v>
      </c>
      <c r="E18" s="9" t="s">
        <v>5</v>
      </c>
      <c r="F18" s="9" t="s">
        <v>6</v>
      </c>
      <c r="G18" s="8" t="s">
        <v>7</v>
      </c>
      <c r="H18" s="10" t="s">
        <v>8</v>
      </c>
      <c r="I18" s="11" t="s">
        <v>9</v>
      </c>
      <c r="J18" s="12" t="s">
        <v>10</v>
      </c>
      <c r="K18" s="71" t="s">
        <v>11</v>
      </c>
      <c r="L18" s="71" t="s">
        <v>12</v>
      </c>
      <c r="M18" s="71" t="s">
        <v>13</v>
      </c>
      <c r="N18" s="71" t="s">
        <v>14</v>
      </c>
      <c r="O18" s="71" t="s">
        <v>15</v>
      </c>
      <c r="P18" s="71" t="s">
        <v>16</v>
      </c>
      <c r="Q18" s="72" t="s">
        <v>17</v>
      </c>
      <c r="R18" s="71" t="s">
        <v>18</v>
      </c>
      <c r="S18" s="71" t="s">
        <v>19</v>
      </c>
      <c r="T18" s="71" t="s">
        <v>20</v>
      </c>
      <c r="U18" s="71" t="s">
        <v>21</v>
      </c>
      <c r="V18" s="13" t="s">
        <v>22</v>
      </c>
      <c r="W18" s="13" t="s">
        <v>23</v>
      </c>
      <c r="X18" s="13" t="s">
        <v>24</v>
      </c>
      <c r="Y18" s="13" t="s">
        <v>25</v>
      </c>
      <c r="Z18" s="13" t="s">
        <v>26</v>
      </c>
      <c r="AA18" s="13" t="s">
        <v>27</v>
      </c>
      <c r="AB18" s="13" t="s">
        <v>28</v>
      </c>
      <c r="AC18" s="13" t="s">
        <v>29</v>
      </c>
    </row>
    <row r="19">
      <c r="A19" s="15" t="s">
        <v>30</v>
      </c>
      <c r="B19" s="16" t="s">
        <v>31</v>
      </c>
      <c r="C19" s="17" t="s">
        <v>32</v>
      </c>
      <c r="D19" s="18" t="s">
        <v>33</v>
      </c>
      <c r="E19" s="17" t="s">
        <v>34</v>
      </c>
      <c r="F19" s="19" t="s">
        <v>34</v>
      </c>
      <c r="G19" s="20" t="s">
        <v>35</v>
      </c>
      <c r="H19" s="21" t="s">
        <v>35</v>
      </c>
      <c r="I19" s="22" t="s">
        <v>36</v>
      </c>
      <c r="J19" s="23" t="s">
        <v>36</v>
      </c>
      <c r="K19" s="24" t="s">
        <v>37</v>
      </c>
      <c r="L19" s="73" t="s">
        <v>38</v>
      </c>
      <c r="M19" s="73" t="s">
        <v>38</v>
      </c>
      <c r="N19" s="73" t="s">
        <v>39</v>
      </c>
      <c r="O19" s="73" t="s">
        <v>38</v>
      </c>
      <c r="P19" s="74" t="s">
        <v>40</v>
      </c>
      <c r="Q19" s="74" t="s">
        <v>40</v>
      </c>
      <c r="R19" s="74" t="s">
        <v>40</v>
      </c>
      <c r="S19" s="74" t="s">
        <v>41</v>
      </c>
      <c r="T19" s="75" t="s">
        <v>42</v>
      </c>
      <c r="U19" s="73" t="s">
        <v>43</v>
      </c>
      <c r="V19" s="25" t="s">
        <v>38</v>
      </c>
      <c r="W19" s="25" t="s">
        <v>44</v>
      </c>
      <c r="X19" s="25" t="s">
        <v>38</v>
      </c>
      <c r="Y19" s="25" t="s">
        <v>30</v>
      </c>
      <c r="Z19" s="25" t="s">
        <v>36</v>
      </c>
      <c r="AA19" s="25" t="s">
        <v>30</v>
      </c>
      <c r="AB19" s="25" t="s">
        <v>30</v>
      </c>
      <c r="AC19" s="25" t="s">
        <v>30</v>
      </c>
    </row>
    <row r="20">
      <c r="A20" s="28">
        <v>10.0</v>
      </c>
      <c r="B20" s="29">
        <f t="shared" ref="B20:B23" si="29">K20*A20*U20/(L20)</f>
        <v>0.004084070449</v>
      </c>
      <c r="C20" s="30">
        <f t="shared" ref="C20:C23" si="30">2*PI()*T20*A20*B20*N20</f>
        <v>2117.338075</v>
      </c>
      <c r="D20" s="31">
        <f t="shared" ref="D20:D23" si="31">(B20*AA20)^2/(4*K20)*AB20*AC20</f>
        <v>22.83042105</v>
      </c>
      <c r="E20" s="30">
        <f t="shared" ref="E20:E23" si="32">D20*N20</f>
        <v>4566.084211</v>
      </c>
      <c r="F20" s="32">
        <f t="shared" ref="F20:F23" si="33">((B20*AA20)^2*N20/(2*K20))*S20*AC20</f>
        <v>36.89228404</v>
      </c>
      <c r="G20" s="33">
        <f t="shared" ref="G20:G23" si="34">F20*Q20</f>
        <v>3689.228404</v>
      </c>
      <c r="H20" s="34">
        <f t="shared" ref="H20:H23" si="35">B20*U20*V20*W20*X20*T20*AB20*AC20</f>
        <v>8252.758291</v>
      </c>
      <c r="I20" s="35">
        <f>((G20+H20+Z20)/1000000)/Y20</f>
        <v>0.217128849</v>
      </c>
      <c r="J20" s="36">
        <f t="shared" ref="J20:J23" si="36">(I20+(H20+F20*Q20)/1000000)*2</f>
        <v>0.4581416714</v>
      </c>
      <c r="K20" s="37">
        <v>1.2566370612699998E-6</v>
      </c>
      <c r="L20" s="38">
        <v>2.0</v>
      </c>
      <c r="M20" s="38">
        <v>100.0</v>
      </c>
      <c r="N20" s="38">
        <f t="shared" ref="N20:N23" si="37">L20*M20</f>
        <v>200</v>
      </c>
      <c r="O20" s="38">
        <v>0.2</v>
      </c>
      <c r="P20" s="39">
        <v>8151.2</v>
      </c>
      <c r="Q20" s="39">
        <v>100.0</v>
      </c>
      <c r="R20" s="39">
        <f t="shared" ref="R20:R23" si="38">P20+Q20</f>
        <v>8251.2</v>
      </c>
      <c r="S20" s="40">
        <f t="shared" ref="S20:S23" si="39">Q20/R20</f>
        <v>0.01211944929</v>
      </c>
      <c r="T20" s="41">
        <f t="shared" ref="T20:T23" si="40">R20/(2*M20)</f>
        <v>41.256</v>
      </c>
      <c r="U20" s="38">
        <v>650.0</v>
      </c>
      <c r="V20" s="38">
        <v>0.012</v>
      </c>
      <c r="W20" s="38">
        <v>0.34202</v>
      </c>
      <c r="X20" s="38">
        <f t="shared" ref="X20:X23" si="41">2*(L20+M20)*A20</f>
        <v>2040</v>
      </c>
      <c r="Y20" s="38">
        <v>0.055</v>
      </c>
      <c r="Z20" s="38">
        <v>0.1</v>
      </c>
      <c r="AA20" s="38">
        <f t="shared" ref="AA20:AA23" si="42">(2/PI())*atan(L20/(2*O20))</f>
        <v>0.8743340836</v>
      </c>
      <c r="AB20" s="38">
        <v>3.0</v>
      </c>
      <c r="AC20" s="38">
        <v>3.0</v>
      </c>
    </row>
    <row r="21">
      <c r="A21" s="42">
        <v>49.0</v>
      </c>
      <c r="B21" s="43">
        <f t="shared" si="29"/>
        <v>0.0200119452</v>
      </c>
      <c r="C21" s="44">
        <f t="shared" si="30"/>
        <v>50837.28719</v>
      </c>
      <c r="D21" s="45">
        <f t="shared" si="31"/>
        <v>548.1584095</v>
      </c>
      <c r="E21" s="44">
        <f t="shared" si="32"/>
        <v>109631.6819</v>
      </c>
      <c r="F21" s="32">
        <f t="shared" si="33"/>
        <v>885.7837398</v>
      </c>
      <c r="G21" s="46">
        <f t="shared" si="34"/>
        <v>88578.37398</v>
      </c>
      <c r="H21" s="47">
        <f t="shared" si="35"/>
        <v>198148.7266</v>
      </c>
      <c r="I21" s="35">
        <f>((G21+H21+Z20)/1000000)/Y21</f>
        <v>5.213221828</v>
      </c>
      <c r="J21" s="36">
        <f t="shared" si="36"/>
        <v>10.99989786</v>
      </c>
      <c r="K21" s="37">
        <v>1.2566370612699998E-6</v>
      </c>
      <c r="L21" s="38">
        <v>2.0</v>
      </c>
      <c r="M21" s="38">
        <v>100.0</v>
      </c>
      <c r="N21" s="38">
        <f t="shared" si="37"/>
        <v>200</v>
      </c>
      <c r="O21" s="38">
        <v>0.2</v>
      </c>
      <c r="P21" s="39">
        <v>8151.2</v>
      </c>
      <c r="Q21" s="39">
        <v>100.0</v>
      </c>
      <c r="R21" s="39">
        <f t="shared" si="38"/>
        <v>8251.2</v>
      </c>
      <c r="S21" s="40">
        <f t="shared" si="39"/>
        <v>0.01211944929</v>
      </c>
      <c r="T21" s="41">
        <f t="shared" si="40"/>
        <v>41.256</v>
      </c>
      <c r="U21" s="38">
        <v>650.0</v>
      </c>
      <c r="V21" s="38">
        <v>0.012</v>
      </c>
      <c r="W21" s="38">
        <v>0.34202</v>
      </c>
      <c r="X21" s="38">
        <f t="shared" si="41"/>
        <v>9996</v>
      </c>
      <c r="Y21" s="38">
        <v>0.055</v>
      </c>
      <c r="Z21" s="38">
        <v>0.1</v>
      </c>
      <c r="AA21" s="38">
        <f t="shared" si="42"/>
        <v>0.8743340836</v>
      </c>
      <c r="AB21" s="38">
        <v>3.0</v>
      </c>
      <c r="AC21" s="38">
        <v>3.0</v>
      </c>
    </row>
    <row r="22">
      <c r="A22" s="48">
        <v>69.0</v>
      </c>
      <c r="B22" s="49">
        <f t="shared" si="29"/>
        <v>0.0281800861</v>
      </c>
      <c r="C22" s="50">
        <f t="shared" si="30"/>
        <v>100806.4658</v>
      </c>
      <c r="D22" s="51">
        <f t="shared" si="31"/>
        <v>1086.956346</v>
      </c>
      <c r="E22" s="50">
        <f t="shared" si="32"/>
        <v>217391.2693</v>
      </c>
      <c r="F22" s="52">
        <f t="shared" si="33"/>
        <v>1756.441643</v>
      </c>
      <c r="G22" s="53">
        <f t="shared" si="34"/>
        <v>175644.1643</v>
      </c>
      <c r="H22" s="54">
        <f t="shared" si="35"/>
        <v>392913.8222</v>
      </c>
      <c r="I22" s="55">
        <f>((G22+H22+Z20)/1000000)/Y22</f>
        <v>10.33741976</v>
      </c>
      <c r="J22" s="56">
        <f t="shared" si="36"/>
        <v>21.81195548</v>
      </c>
      <c r="K22" s="37">
        <v>1.2566370612699998E-6</v>
      </c>
      <c r="L22" s="38">
        <v>2.0</v>
      </c>
      <c r="M22" s="38">
        <v>100.0</v>
      </c>
      <c r="N22" s="38">
        <f t="shared" si="37"/>
        <v>200</v>
      </c>
      <c r="O22" s="38">
        <v>0.2</v>
      </c>
      <c r="P22" s="39">
        <v>8151.2</v>
      </c>
      <c r="Q22" s="39">
        <v>100.0</v>
      </c>
      <c r="R22" s="39">
        <f t="shared" si="38"/>
        <v>8251.2</v>
      </c>
      <c r="S22" s="40">
        <f t="shared" si="39"/>
        <v>0.01211944929</v>
      </c>
      <c r="T22" s="41">
        <f t="shared" si="40"/>
        <v>41.256</v>
      </c>
      <c r="U22" s="38">
        <v>650.0</v>
      </c>
      <c r="V22" s="38">
        <v>0.012</v>
      </c>
      <c r="W22" s="38">
        <v>0.34202</v>
      </c>
      <c r="X22" s="38">
        <f t="shared" si="41"/>
        <v>14076</v>
      </c>
      <c r="Y22" s="38">
        <v>0.055</v>
      </c>
      <c r="Z22" s="38">
        <v>0.1</v>
      </c>
      <c r="AA22" s="38">
        <f t="shared" si="42"/>
        <v>0.8743340836</v>
      </c>
      <c r="AB22" s="38">
        <v>3.0</v>
      </c>
      <c r="AC22" s="38">
        <v>3.0</v>
      </c>
    </row>
    <row r="23">
      <c r="A23" s="76">
        <v>59.0</v>
      </c>
      <c r="B23" s="58">
        <f t="shared" si="29"/>
        <v>0.02409601565</v>
      </c>
      <c r="C23" s="59">
        <f t="shared" si="30"/>
        <v>73704.53841</v>
      </c>
      <c r="D23" s="60">
        <f t="shared" si="31"/>
        <v>794.7269569</v>
      </c>
      <c r="E23" s="59">
        <f t="shared" si="32"/>
        <v>158945.3914</v>
      </c>
      <c r="F23" s="77">
        <f t="shared" si="33"/>
        <v>1284.220407</v>
      </c>
      <c r="G23" s="62">
        <f t="shared" si="34"/>
        <v>128422.0407</v>
      </c>
      <c r="H23" s="63">
        <f t="shared" si="35"/>
        <v>287278.5161</v>
      </c>
      <c r="I23" s="64">
        <f>((G23+H23+Z20)/1000000)/Y23</f>
        <v>7.558193761</v>
      </c>
      <c r="J23" s="65">
        <f t="shared" si="36"/>
        <v>15.94778864</v>
      </c>
      <c r="K23" s="78">
        <v>1.2566370612699998E-6</v>
      </c>
      <c r="L23" s="38">
        <v>2.0</v>
      </c>
      <c r="M23" s="38">
        <v>100.0</v>
      </c>
      <c r="N23" s="38">
        <f t="shared" si="37"/>
        <v>200</v>
      </c>
      <c r="O23" s="38">
        <v>0.2</v>
      </c>
      <c r="P23" s="39">
        <v>8151.2</v>
      </c>
      <c r="Q23" s="39">
        <v>100.0</v>
      </c>
      <c r="R23" s="39">
        <f t="shared" si="38"/>
        <v>8251.2</v>
      </c>
      <c r="S23" s="40">
        <f t="shared" si="39"/>
        <v>0.01211944929</v>
      </c>
      <c r="T23" s="41">
        <f t="shared" si="40"/>
        <v>41.256</v>
      </c>
      <c r="U23" s="38">
        <v>650.0</v>
      </c>
      <c r="V23" s="38">
        <v>0.012</v>
      </c>
      <c r="W23" s="38">
        <v>0.34202</v>
      </c>
      <c r="X23" s="38">
        <f t="shared" si="41"/>
        <v>12036</v>
      </c>
      <c r="Y23" s="38">
        <v>0.055</v>
      </c>
      <c r="Z23" s="38">
        <v>0.1</v>
      </c>
      <c r="AA23" s="38">
        <f t="shared" si="42"/>
        <v>0.8743340836</v>
      </c>
      <c r="AB23" s="38">
        <v>3.0</v>
      </c>
      <c r="AC23" s="38">
        <v>3.0</v>
      </c>
    </row>
    <row r="24">
      <c r="Q24" s="66"/>
      <c r="R24" s="39"/>
      <c r="S24" s="40"/>
      <c r="T24" s="41"/>
    </row>
    <row r="25" ht="27.75" customHeight="1">
      <c r="A25" s="1" t="s">
        <v>47</v>
      </c>
      <c r="B25" s="2"/>
      <c r="C25" s="2"/>
      <c r="D25" s="2"/>
      <c r="E25" s="2"/>
      <c r="F25" s="2"/>
      <c r="G25" s="2"/>
      <c r="H25" s="2"/>
      <c r="I25" s="2"/>
      <c r="J25" s="3"/>
      <c r="K25" s="67"/>
      <c r="L25" s="67"/>
      <c r="M25" s="67"/>
      <c r="N25" s="67"/>
      <c r="O25" s="67"/>
      <c r="P25" s="67"/>
      <c r="Q25" s="68"/>
      <c r="R25" s="69"/>
      <c r="S25" s="70"/>
      <c r="T25" s="4"/>
      <c r="U25" s="67"/>
      <c r="V25" s="67"/>
      <c r="W25" s="67"/>
      <c r="X25" s="67"/>
      <c r="Y25" s="67"/>
      <c r="Z25" s="67"/>
      <c r="AA25" s="67"/>
      <c r="AB25" s="67"/>
      <c r="AC25" s="67"/>
    </row>
    <row r="26">
      <c r="A26" s="7" t="s">
        <v>1</v>
      </c>
      <c r="B26" s="8" t="s">
        <v>2</v>
      </c>
      <c r="C26" s="9" t="s">
        <v>3</v>
      </c>
      <c r="D26" s="9" t="s">
        <v>4</v>
      </c>
      <c r="E26" s="9" t="s">
        <v>5</v>
      </c>
      <c r="F26" s="9" t="s">
        <v>6</v>
      </c>
      <c r="G26" s="8" t="s">
        <v>7</v>
      </c>
      <c r="H26" s="10" t="s">
        <v>8</v>
      </c>
      <c r="I26" s="11" t="s">
        <v>9</v>
      </c>
      <c r="J26" s="12" t="s">
        <v>10</v>
      </c>
      <c r="K26" s="71" t="s">
        <v>11</v>
      </c>
      <c r="L26" s="71" t="s">
        <v>12</v>
      </c>
      <c r="M26" s="71" t="s">
        <v>13</v>
      </c>
      <c r="N26" s="71" t="s">
        <v>14</v>
      </c>
      <c r="O26" s="71" t="s">
        <v>15</v>
      </c>
      <c r="P26" s="71" t="s">
        <v>16</v>
      </c>
      <c r="Q26" s="72" t="s">
        <v>17</v>
      </c>
      <c r="R26" s="71" t="s">
        <v>18</v>
      </c>
      <c r="S26" s="71" t="s">
        <v>19</v>
      </c>
      <c r="T26" s="71" t="s">
        <v>20</v>
      </c>
      <c r="U26" s="71" t="s">
        <v>21</v>
      </c>
      <c r="V26" s="13" t="s">
        <v>22</v>
      </c>
      <c r="W26" s="13" t="s">
        <v>23</v>
      </c>
      <c r="X26" s="13" t="s">
        <v>24</v>
      </c>
      <c r="Y26" s="13" t="s">
        <v>25</v>
      </c>
      <c r="Z26" s="13" t="s">
        <v>26</v>
      </c>
      <c r="AA26" s="13" t="s">
        <v>27</v>
      </c>
      <c r="AB26" s="13" t="s">
        <v>28</v>
      </c>
      <c r="AC26" s="13" t="s">
        <v>29</v>
      </c>
    </row>
    <row r="27">
      <c r="A27" s="15" t="s">
        <v>30</v>
      </c>
      <c r="B27" s="16" t="s">
        <v>31</v>
      </c>
      <c r="C27" s="17" t="s">
        <v>32</v>
      </c>
      <c r="D27" s="18" t="s">
        <v>33</v>
      </c>
      <c r="E27" s="17" t="s">
        <v>34</v>
      </c>
      <c r="F27" s="19" t="s">
        <v>34</v>
      </c>
      <c r="G27" s="20" t="s">
        <v>35</v>
      </c>
      <c r="H27" s="21" t="s">
        <v>35</v>
      </c>
      <c r="I27" s="22" t="s">
        <v>36</v>
      </c>
      <c r="J27" s="23" t="s">
        <v>36</v>
      </c>
      <c r="K27" s="24" t="s">
        <v>37</v>
      </c>
      <c r="L27" s="73" t="s">
        <v>38</v>
      </c>
      <c r="M27" s="73" t="s">
        <v>38</v>
      </c>
      <c r="N27" s="73" t="s">
        <v>39</v>
      </c>
      <c r="O27" s="73" t="s">
        <v>38</v>
      </c>
      <c r="P27" s="74" t="s">
        <v>40</v>
      </c>
      <c r="Q27" s="74" t="s">
        <v>40</v>
      </c>
      <c r="R27" s="74" t="s">
        <v>40</v>
      </c>
      <c r="S27" s="74" t="s">
        <v>41</v>
      </c>
      <c r="T27" s="75" t="s">
        <v>42</v>
      </c>
      <c r="U27" s="73" t="s">
        <v>43</v>
      </c>
      <c r="V27" s="25" t="s">
        <v>38</v>
      </c>
      <c r="W27" s="25" t="s">
        <v>44</v>
      </c>
      <c r="X27" s="25" t="s">
        <v>38</v>
      </c>
      <c r="Y27" s="25" t="s">
        <v>30</v>
      </c>
      <c r="Z27" s="25" t="s">
        <v>36</v>
      </c>
      <c r="AA27" s="25" t="s">
        <v>30</v>
      </c>
      <c r="AB27" s="25" t="s">
        <v>30</v>
      </c>
      <c r="AC27" s="25" t="s">
        <v>30</v>
      </c>
    </row>
    <row r="28">
      <c r="A28" s="28">
        <v>10.0</v>
      </c>
      <c r="B28" s="29">
        <f t="shared" ref="B28:B31" si="43">K28*A28*U28/(L28)</f>
        <v>0.0163362818</v>
      </c>
      <c r="C28" s="30">
        <f t="shared" ref="C28:C31" si="44">2*PI()*T28*A28*B28*N28</f>
        <v>2117.338075</v>
      </c>
      <c r="D28" s="31">
        <f t="shared" ref="D28:D31" si="45">(B28*AA28)^2/(4*K28)*AB28*AC28</f>
        <v>155.4923548</v>
      </c>
      <c r="E28" s="30">
        <f t="shared" ref="E28:E31" si="46">D28*N28</f>
        <v>7774.617738</v>
      </c>
      <c r="F28" s="32">
        <f t="shared" ref="F28:F31" si="47">((B28*AA28)^2*N28/(2*K28))*S28*AC28</f>
        <v>62.81605696</v>
      </c>
      <c r="G28" s="33">
        <f t="shared" ref="G28:G31" si="48">F28*Q28</f>
        <v>6281.605696</v>
      </c>
      <c r="H28" s="34">
        <f t="shared" ref="H28:H31" si="49">B28*U28*V28*W28*X28*T28*AB28*AC28</f>
        <v>32525.57679</v>
      </c>
      <c r="I28" s="35">
        <f>((G28+H28+Z28)/1000000)/Y28</f>
        <v>0.7055869543</v>
      </c>
      <c r="J28" s="36">
        <f t="shared" ref="J28:J31" si="50">(I28+(H28+F28*Q28)/1000000)*2</f>
        <v>1.488788274</v>
      </c>
      <c r="K28" s="37">
        <v>1.2566370612699998E-6</v>
      </c>
      <c r="L28" s="38">
        <v>0.5</v>
      </c>
      <c r="M28" s="38">
        <v>100.0</v>
      </c>
      <c r="N28" s="38">
        <f t="shared" ref="N28:N31" si="51">L28*M28</f>
        <v>50</v>
      </c>
      <c r="O28" s="38">
        <v>0.2</v>
      </c>
      <c r="P28" s="39">
        <v>8151.2</v>
      </c>
      <c r="Q28" s="39">
        <v>100.0</v>
      </c>
      <c r="R28" s="39">
        <f t="shared" ref="R28:R31" si="52">P28+Q28</f>
        <v>8251.2</v>
      </c>
      <c r="S28" s="40">
        <f t="shared" ref="S28:S31" si="53">Q28/R28</f>
        <v>0.01211944929</v>
      </c>
      <c r="T28" s="41">
        <f t="shared" ref="T28:T31" si="54">R28/(2*M28)</f>
        <v>41.256</v>
      </c>
      <c r="U28" s="38">
        <v>650.0</v>
      </c>
      <c r="V28" s="38">
        <v>0.012</v>
      </c>
      <c r="W28" s="38">
        <v>0.34202</v>
      </c>
      <c r="X28" s="38">
        <f t="shared" ref="X28:X31" si="55">2*(L28+M28)*A28</f>
        <v>2010</v>
      </c>
      <c r="Y28" s="38">
        <v>0.055</v>
      </c>
      <c r="Z28" s="38">
        <v>0.1</v>
      </c>
      <c r="AA28" s="38">
        <f t="shared" ref="AA28:AA31" si="56">(2/PI())*atan(L28/(2*O28))</f>
        <v>0.570446575</v>
      </c>
      <c r="AB28" s="38">
        <v>3.0</v>
      </c>
      <c r="AC28" s="38">
        <v>3.0</v>
      </c>
    </row>
    <row r="29">
      <c r="A29" s="42">
        <v>49.0</v>
      </c>
      <c r="B29" s="43">
        <f t="shared" si="43"/>
        <v>0.0800477808</v>
      </c>
      <c r="C29" s="44">
        <f t="shared" si="44"/>
        <v>50837.28719</v>
      </c>
      <c r="D29" s="45">
        <f t="shared" si="45"/>
        <v>3733.371438</v>
      </c>
      <c r="E29" s="44">
        <f t="shared" si="46"/>
        <v>186668.5719</v>
      </c>
      <c r="F29" s="32">
        <f t="shared" si="47"/>
        <v>1508.213528</v>
      </c>
      <c r="G29" s="46">
        <f t="shared" si="48"/>
        <v>150821.3528</v>
      </c>
      <c r="H29" s="47">
        <f t="shared" si="49"/>
        <v>780939.0988</v>
      </c>
      <c r="I29" s="35">
        <f>((G29+H29+Z28)/1000000)/Y29</f>
        <v>16.94110094</v>
      </c>
      <c r="J29" s="36">
        <f t="shared" si="50"/>
        <v>35.74572278</v>
      </c>
      <c r="K29" s="37">
        <v>1.2566370612699998E-6</v>
      </c>
      <c r="L29" s="38">
        <v>0.5</v>
      </c>
      <c r="M29" s="38">
        <v>100.0</v>
      </c>
      <c r="N29" s="38">
        <f t="shared" si="51"/>
        <v>50</v>
      </c>
      <c r="O29" s="38">
        <v>0.2</v>
      </c>
      <c r="P29" s="39">
        <v>8151.2</v>
      </c>
      <c r="Q29" s="39">
        <v>100.0</v>
      </c>
      <c r="R29" s="39">
        <f t="shared" si="52"/>
        <v>8251.2</v>
      </c>
      <c r="S29" s="40">
        <f t="shared" si="53"/>
        <v>0.01211944929</v>
      </c>
      <c r="T29" s="41">
        <f t="shared" si="54"/>
        <v>41.256</v>
      </c>
      <c r="U29" s="38">
        <v>650.0</v>
      </c>
      <c r="V29" s="38">
        <v>0.012</v>
      </c>
      <c r="W29" s="38">
        <v>0.34202</v>
      </c>
      <c r="X29" s="38">
        <f t="shared" si="55"/>
        <v>9849</v>
      </c>
      <c r="Y29" s="38">
        <v>0.055</v>
      </c>
      <c r="Z29" s="38">
        <v>0.1</v>
      </c>
      <c r="AA29" s="38">
        <f t="shared" si="56"/>
        <v>0.570446575</v>
      </c>
      <c r="AB29" s="38">
        <v>3.0</v>
      </c>
      <c r="AC29" s="38">
        <v>3.0</v>
      </c>
    </row>
    <row r="30">
      <c r="A30" s="48">
        <v>69.0</v>
      </c>
      <c r="B30" s="49">
        <f t="shared" si="43"/>
        <v>0.1127203444</v>
      </c>
      <c r="C30" s="50">
        <f t="shared" si="44"/>
        <v>100806.4658</v>
      </c>
      <c r="D30" s="51">
        <f t="shared" si="45"/>
        <v>7402.99101</v>
      </c>
      <c r="E30" s="50">
        <f t="shared" si="46"/>
        <v>370149.5505</v>
      </c>
      <c r="F30" s="52">
        <f t="shared" si="47"/>
        <v>2990.672472</v>
      </c>
      <c r="G30" s="53">
        <f t="shared" si="48"/>
        <v>299067.2472</v>
      </c>
      <c r="H30" s="54">
        <f t="shared" si="49"/>
        <v>1548542.711</v>
      </c>
      <c r="I30" s="55">
        <f>((G30+H30+Z28)/1000000)/Y30</f>
        <v>33.59291015</v>
      </c>
      <c r="J30" s="56">
        <f t="shared" si="50"/>
        <v>70.88104022</v>
      </c>
      <c r="K30" s="37">
        <v>1.2566370612699998E-6</v>
      </c>
      <c r="L30" s="38">
        <v>0.5</v>
      </c>
      <c r="M30" s="38">
        <v>100.0</v>
      </c>
      <c r="N30" s="38">
        <f t="shared" si="51"/>
        <v>50</v>
      </c>
      <c r="O30" s="38">
        <v>0.2</v>
      </c>
      <c r="P30" s="39">
        <v>8151.2</v>
      </c>
      <c r="Q30" s="39">
        <v>100.0</v>
      </c>
      <c r="R30" s="39">
        <f t="shared" si="52"/>
        <v>8251.2</v>
      </c>
      <c r="S30" s="40">
        <f t="shared" si="53"/>
        <v>0.01211944929</v>
      </c>
      <c r="T30" s="41">
        <f t="shared" si="54"/>
        <v>41.256</v>
      </c>
      <c r="U30" s="38">
        <v>650.0</v>
      </c>
      <c r="V30" s="38">
        <v>0.012</v>
      </c>
      <c r="W30" s="38">
        <v>0.34202</v>
      </c>
      <c r="X30" s="38">
        <f t="shared" si="55"/>
        <v>13869</v>
      </c>
      <c r="Y30" s="38">
        <v>0.055</v>
      </c>
      <c r="Z30" s="38">
        <v>0.1</v>
      </c>
      <c r="AA30" s="38">
        <f t="shared" si="56"/>
        <v>0.570446575</v>
      </c>
      <c r="AB30" s="38">
        <v>3.0</v>
      </c>
      <c r="AC30" s="38">
        <v>3.0</v>
      </c>
    </row>
    <row r="31">
      <c r="A31" s="57">
        <v>32.0</v>
      </c>
      <c r="B31" s="58">
        <f t="shared" si="43"/>
        <v>0.05227610175</v>
      </c>
      <c r="C31" s="59">
        <f t="shared" si="44"/>
        <v>21681.54189</v>
      </c>
      <c r="D31" s="60">
        <f t="shared" si="45"/>
        <v>1592.241713</v>
      </c>
      <c r="E31" s="59">
        <f t="shared" si="46"/>
        <v>79612.08563</v>
      </c>
      <c r="F31" s="61">
        <f t="shared" si="47"/>
        <v>643.2364233</v>
      </c>
      <c r="G31" s="62">
        <f t="shared" si="48"/>
        <v>64323.64233</v>
      </c>
      <c r="H31" s="63">
        <f t="shared" si="49"/>
        <v>333061.9064</v>
      </c>
      <c r="I31" s="64">
        <f>((G31+H31+Z28)/1000000)/Y31</f>
        <v>7.225193612</v>
      </c>
      <c r="J31" s="65">
        <f t="shared" si="50"/>
        <v>15.24515832</v>
      </c>
      <c r="K31" s="78">
        <v>1.2566370612699998E-6</v>
      </c>
      <c r="L31" s="38">
        <v>0.5</v>
      </c>
      <c r="M31" s="38">
        <v>100.0</v>
      </c>
      <c r="N31" s="38">
        <f t="shared" si="51"/>
        <v>50</v>
      </c>
      <c r="O31" s="38">
        <v>0.2</v>
      </c>
      <c r="P31" s="39">
        <v>8151.2</v>
      </c>
      <c r="Q31" s="39">
        <v>100.0</v>
      </c>
      <c r="R31" s="39">
        <f t="shared" si="52"/>
        <v>8251.2</v>
      </c>
      <c r="S31" s="40">
        <f t="shared" si="53"/>
        <v>0.01211944929</v>
      </c>
      <c r="T31" s="41">
        <f t="shared" si="54"/>
        <v>41.256</v>
      </c>
      <c r="U31" s="38">
        <v>650.0</v>
      </c>
      <c r="V31" s="38">
        <v>0.012</v>
      </c>
      <c r="W31" s="38">
        <v>0.34202</v>
      </c>
      <c r="X31" s="38">
        <f t="shared" si="55"/>
        <v>6432</v>
      </c>
      <c r="Y31" s="38">
        <v>0.055</v>
      </c>
      <c r="Z31" s="38">
        <v>0.1</v>
      </c>
      <c r="AA31" s="38">
        <f t="shared" si="56"/>
        <v>0.570446575</v>
      </c>
      <c r="AB31" s="38">
        <v>3.0</v>
      </c>
      <c r="AC31" s="38">
        <v>3.0</v>
      </c>
    </row>
    <row r="32">
      <c r="Q32" s="66"/>
      <c r="R32" s="39"/>
      <c r="S32" s="40"/>
      <c r="T32" s="41"/>
    </row>
    <row r="33" ht="27.75" customHeight="1">
      <c r="A33" s="1" t="s">
        <v>48</v>
      </c>
      <c r="B33" s="2"/>
      <c r="C33" s="2"/>
      <c r="D33" s="2"/>
      <c r="E33" s="2"/>
      <c r="F33" s="2"/>
      <c r="G33" s="2"/>
      <c r="H33" s="2"/>
      <c r="I33" s="2"/>
      <c r="J33" s="3"/>
      <c r="Q33" s="66"/>
      <c r="R33" s="39"/>
      <c r="S33" s="40"/>
      <c r="T33" s="41"/>
    </row>
    <row r="34">
      <c r="A34" s="7" t="s">
        <v>1</v>
      </c>
      <c r="B34" s="8" t="s">
        <v>2</v>
      </c>
      <c r="C34" s="9" t="s">
        <v>3</v>
      </c>
      <c r="D34" s="9" t="s">
        <v>4</v>
      </c>
      <c r="E34" s="9" t="s">
        <v>5</v>
      </c>
      <c r="F34" s="9" t="s">
        <v>6</v>
      </c>
      <c r="G34" s="8" t="s">
        <v>7</v>
      </c>
      <c r="H34" s="10" t="s">
        <v>8</v>
      </c>
      <c r="I34" s="11" t="s">
        <v>9</v>
      </c>
      <c r="J34" s="12" t="s">
        <v>10</v>
      </c>
      <c r="K34" s="71" t="s">
        <v>11</v>
      </c>
      <c r="L34" s="71" t="s">
        <v>12</v>
      </c>
      <c r="M34" s="71" t="s">
        <v>13</v>
      </c>
      <c r="N34" s="71" t="s">
        <v>14</v>
      </c>
      <c r="O34" s="71" t="s">
        <v>15</v>
      </c>
      <c r="P34" s="71" t="s">
        <v>16</v>
      </c>
      <c r="Q34" s="72" t="s">
        <v>17</v>
      </c>
      <c r="R34" s="71" t="s">
        <v>18</v>
      </c>
      <c r="S34" s="71" t="s">
        <v>19</v>
      </c>
      <c r="T34" s="71" t="s">
        <v>20</v>
      </c>
      <c r="U34" s="71" t="s">
        <v>21</v>
      </c>
      <c r="V34" s="13" t="s">
        <v>22</v>
      </c>
      <c r="W34" s="13" t="s">
        <v>23</v>
      </c>
      <c r="X34" s="13" t="s">
        <v>24</v>
      </c>
      <c r="Y34" s="13" t="s">
        <v>25</v>
      </c>
      <c r="Z34" s="13" t="s">
        <v>26</v>
      </c>
      <c r="AA34" s="13" t="s">
        <v>27</v>
      </c>
      <c r="AB34" s="13" t="s">
        <v>28</v>
      </c>
      <c r="AC34" s="13" t="s">
        <v>29</v>
      </c>
    </row>
    <row r="35">
      <c r="A35" s="15" t="s">
        <v>30</v>
      </c>
      <c r="B35" s="16" t="s">
        <v>31</v>
      </c>
      <c r="C35" s="17" t="s">
        <v>32</v>
      </c>
      <c r="D35" s="18" t="s">
        <v>33</v>
      </c>
      <c r="E35" s="17" t="s">
        <v>34</v>
      </c>
      <c r="F35" s="19" t="s">
        <v>34</v>
      </c>
      <c r="G35" s="20" t="s">
        <v>35</v>
      </c>
      <c r="H35" s="21" t="s">
        <v>35</v>
      </c>
      <c r="I35" s="22" t="s">
        <v>36</v>
      </c>
      <c r="J35" s="23" t="s">
        <v>36</v>
      </c>
      <c r="K35" s="24" t="s">
        <v>37</v>
      </c>
      <c r="L35" s="73" t="s">
        <v>38</v>
      </c>
      <c r="M35" s="73" t="s">
        <v>38</v>
      </c>
      <c r="N35" s="73" t="s">
        <v>39</v>
      </c>
      <c r="O35" s="73" t="s">
        <v>38</v>
      </c>
      <c r="P35" s="74" t="s">
        <v>40</v>
      </c>
      <c r="Q35" s="74" t="s">
        <v>40</v>
      </c>
      <c r="R35" s="74" t="s">
        <v>40</v>
      </c>
      <c r="S35" s="74" t="s">
        <v>41</v>
      </c>
      <c r="T35" s="75" t="s">
        <v>42</v>
      </c>
      <c r="U35" s="73" t="s">
        <v>43</v>
      </c>
      <c r="V35" s="25" t="s">
        <v>38</v>
      </c>
      <c r="W35" s="25" t="s">
        <v>44</v>
      </c>
      <c r="X35" s="25" t="s">
        <v>38</v>
      </c>
      <c r="Y35" s="25" t="s">
        <v>30</v>
      </c>
      <c r="Z35" s="25" t="s">
        <v>36</v>
      </c>
      <c r="AA35" s="25" t="s">
        <v>30</v>
      </c>
      <c r="AB35" s="25" t="s">
        <v>30</v>
      </c>
      <c r="AC35" s="25" t="s">
        <v>30</v>
      </c>
    </row>
    <row r="36">
      <c r="A36" s="28">
        <v>10.0</v>
      </c>
      <c r="B36" s="29">
        <f t="shared" ref="B36:B39" si="57">K36*A36*U36/(L36)</f>
        <v>0.0163362818</v>
      </c>
      <c r="C36" s="30">
        <f t="shared" ref="C36:C39" si="58">2*PI()*T36*A36*B36*N36</f>
        <v>2117.338075</v>
      </c>
      <c r="D36" s="31">
        <f t="shared" ref="D36:D39" si="59">(B36*AA36)^2/(4*K36)*AB36*AC36</f>
        <v>274.3752074</v>
      </c>
      <c r="E36" s="30">
        <f t="shared" ref="E36:E39" si="60">D36*N36</f>
        <v>6859.380185</v>
      </c>
      <c r="F36" s="32">
        <f t="shared" ref="F36:F39" si="61">((B36*AA36)^2*N36/(2*K36))*S36*AC36</f>
        <v>55.42127355</v>
      </c>
      <c r="G36" s="33">
        <f t="shared" ref="G36:G39" si="62">F36*Q36</f>
        <v>5542.127355</v>
      </c>
      <c r="H36" s="34">
        <f t="shared" ref="H36:H39" si="63">B36*U36*V36*W36*X36*T36*AB36*AC36</f>
        <v>32687.39558</v>
      </c>
      <c r="I36" s="35">
        <f>((G36+H36+Z36)/1000000)/Y36</f>
        <v>0.6950840534</v>
      </c>
      <c r="J36" s="36">
        <f t="shared" ref="J36:J39" si="64">(I36+(H36+F36*Q36)/1000000)*2</f>
        <v>1.466627153</v>
      </c>
      <c r="K36" s="37">
        <v>1.2566370612699998E-6</v>
      </c>
      <c r="L36" s="38">
        <v>0.5</v>
      </c>
      <c r="M36" s="38">
        <v>50.0</v>
      </c>
      <c r="N36" s="38">
        <f t="shared" ref="N36:N39" si="65">L36*M36</f>
        <v>25</v>
      </c>
      <c r="O36" s="38">
        <v>0.1</v>
      </c>
      <c r="P36" s="39">
        <v>8151.2</v>
      </c>
      <c r="Q36" s="39">
        <v>100.0</v>
      </c>
      <c r="R36" s="39">
        <f t="shared" ref="R36:R39" si="66">P36+Q36</f>
        <v>8251.2</v>
      </c>
      <c r="S36" s="40">
        <f t="shared" ref="S36:S39" si="67">Q36/R36</f>
        <v>0.01211944929</v>
      </c>
      <c r="T36" s="41">
        <f t="shared" ref="T36:T39" si="68">R36/(2*M36)</f>
        <v>82.512</v>
      </c>
      <c r="U36" s="38">
        <v>650.0</v>
      </c>
      <c r="V36" s="38">
        <v>0.012</v>
      </c>
      <c r="W36" s="38">
        <v>0.34202</v>
      </c>
      <c r="X36" s="38">
        <f t="shared" ref="X36:X39" si="69">2*(L36+M36)*A36</f>
        <v>1010</v>
      </c>
      <c r="Y36" s="38">
        <v>0.055</v>
      </c>
      <c r="Z36" s="38">
        <v>0.1</v>
      </c>
      <c r="AA36" s="38">
        <f t="shared" ref="AA36:AA39" si="70">(2/PI())*atan(L36/(2*O36))</f>
        <v>0.7577621168</v>
      </c>
      <c r="AB36" s="38">
        <v>3.0</v>
      </c>
      <c r="AC36" s="38">
        <v>3.0</v>
      </c>
    </row>
    <row r="37">
      <c r="A37" s="79">
        <v>49.0</v>
      </c>
      <c r="B37" s="43">
        <f t="shared" si="57"/>
        <v>0.0800477808</v>
      </c>
      <c r="C37" s="44">
        <f t="shared" si="58"/>
        <v>50837.28719</v>
      </c>
      <c r="D37" s="45">
        <f t="shared" si="59"/>
        <v>6587.748729</v>
      </c>
      <c r="E37" s="44">
        <f t="shared" si="60"/>
        <v>164693.7182</v>
      </c>
      <c r="F37" s="32">
        <f t="shared" si="61"/>
        <v>1330.664778</v>
      </c>
      <c r="G37" s="46">
        <f t="shared" si="62"/>
        <v>133066.4778</v>
      </c>
      <c r="H37" s="47">
        <f t="shared" si="63"/>
        <v>784824.3679</v>
      </c>
      <c r="I37" s="35">
        <f>((G37+H37+Z36)/1000000)/Y37</f>
        <v>16.68892629</v>
      </c>
      <c r="J37" s="36">
        <f t="shared" si="64"/>
        <v>35.21363426</v>
      </c>
      <c r="K37" s="37">
        <v>1.2566370612699998E-6</v>
      </c>
      <c r="L37" s="38">
        <v>0.5</v>
      </c>
      <c r="M37" s="38">
        <v>50.0</v>
      </c>
      <c r="N37" s="38">
        <f t="shared" si="65"/>
        <v>25</v>
      </c>
      <c r="O37" s="38">
        <v>0.1</v>
      </c>
      <c r="P37" s="39">
        <v>8151.2</v>
      </c>
      <c r="Q37" s="39">
        <v>100.0</v>
      </c>
      <c r="R37" s="39">
        <f t="shared" si="66"/>
        <v>8251.2</v>
      </c>
      <c r="S37" s="40">
        <f t="shared" si="67"/>
        <v>0.01211944929</v>
      </c>
      <c r="T37" s="41">
        <f t="shared" si="68"/>
        <v>82.512</v>
      </c>
      <c r="U37" s="38">
        <v>650.0</v>
      </c>
      <c r="V37" s="38">
        <v>0.012</v>
      </c>
      <c r="W37" s="38">
        <v>0.34202</v>
      </c>
      <c r="X37" s="38">
        <f t="shared" si="69"/>
        <v>4949</v>
      </c>
      <c r="Y37" s="38">
        <v>0.055</v>
      </c>
      <c r="Z37" s="38">
        <v>0.1</v>
      </c>
      <c r="AA37" s="38">
        <f t="shared" si="70"/>
        <v>0.7577621168</v>
      </c>
      <c r="AB37" s="38">
        <v>3.0</v>
      </c>
      <c r="AC37" s="38">
        <v>3.0</v>
      </c>
    </row>
    <row r="38">
      <c r="A38" s="48">
        <v>69.0</v>
      </c>
      <c r="B38" s="49">
        <f t="shared" si="57"/>
        <v>0.1127203444</v>
      </c>
      <c r="C38" s="50">
        <f t="shared" si="58"/>
        <v>100806.4658</v>
      </c>
      <c r="D38" s="51">
        <f t="shared" si="59"/>
        <v>13063.00362</v>
      </c>
      <c r="E38" s="50">
        <f t="shared" si="60"/>
        <v>326575.0906</v>
      </c>
      <c r="F38" s="52">
        <f t="shared" si="61"/>
        <v>2638.606834</v>
      </c>
      <c r="G38" s="53">
        <f t="shared" si="62"/>
        <v>263860.6834</v>
      </c>
      <c r="H38" s="54">
        <f t="shared" si="63"/>
        <v>1556246.904</v>
      </c>
      <c r="I38" s="55">
        <f>((G38+H38+Z36)/1000000)/Y38</f>
        <v>33.09286704</v>
      </c>
      <c r="J38" s="56">
        <f t="shared" si="64"/>
        <v>69.82594925</v>
      </c>
      <c r="K38" s="37">
        <v>1.2566370612699998E-6</v>
      </c>
      <c r="L38" s="38">
        <v>0.5</v>
      </c>
      <c r="M38" s="38">
        <v>50.0</v>
      </c>
      <c r="N38" s="38">
        <f t="shared" si="65"/>
        <v>25</v>
      </c>
      <c r="O38" s="38">
        <v>0.1</v>
      </c>
      <c r="P38" s="39">
        <v>8151.2</v>
      </c>
      <c r="Q38" s="39">
        <v>100.0</v>
      </c>
      <c r="R38" s="39">
        <f t="shared" si="66"/>
        <v>8251.2</v>
      </c>
      <c r="S38" s="40">
        <f t="shared" si="67"/>
        <v>0.01211944929</v>
      </c>
      <c r="T38" s="41">
        <f t="shared" si="68"/>
        <v>82.512</v>
      </c>
      <c r="U38" s="38">
        <v>650.0</v>
      </c>
      <c r="V38" s="38">
        <v>0.012</v>
      </c>
      <c r="W38" s="38">
        <v>0.34202</v>
      </c>
      <c r="X38" s="38">
        <f t="shared" si="69"/>
        <v>6969</v>
      </c>
      <c r="Y38" s="38">
        <v>0.055</v>
      </c>
      <c r="Z38" s="38">
        <v>0.1</v>
      </c>
      <c r="AA38" s="38">
        <f t="shared" si="70"/>
        <v>0.7577621168</v>
      </c>
      <c r="AB38" s="38">
        <v>3.0</v>
      </c>
      <c r="AC38" s="38">
        <v>3.0</v>
      </c>
    </row>
    <row r="39">
      <c r="A39" s="57">
        <v>33.0</v>
      </c>
      <c r="B39" s="58">
        <f t="shared" si="57"/>
        <v>0.05390972993</v>
      </c>
      <c r="C39" s="59">
        <f t="shared" si="58"/>
        <v>23057.81164</v>
      </c>
      <c r="D39" s="60">
        <f t="shared" si="59"/>
        <v>2987.946008</v>
      </c>
      <c r="E39" s="59">
        <f t="shared" si="60"/>
        <v>74698.65021</v>
      </c>
      <c r="F39" s="61">
        <f t="shared" si="61"/>
        <v>603.537669</v>
      </c>
      <c r="G39" s="62">
        <f t="shared" si="62"/>
        <v>60353.7669</v>
      </c>
      <c r="H39" s="63">
        <f t="shared" si="63"/>
        <v>355965.7379</v>
      </c>
      <c r="I39" s="64">
        <f>((G39+H39+Z36)/1000000)/Y39</f>
        <v>7.56944736</v>
      </c>
      <c r="J39" s="65">
        <f t="shared" si="64"/>
        <v>15.97153373</v>
      </c>
      <c r="K39" s="78">
        <v>1.2566370612699998E-6</v>
      </c>
      <c r="L39" s="80">
        <v>0.5</v>
      </c>
      <c r="M39" s="38">
        <v>50.0</v>
      </c>
      <c r="N39" s="38">
        <f t="shared" si="65"/>
        <v>25</v>
      </c>
      <c r="O39" s="38">
        <v>0.1</v>
      </c>
      <c r="P39" s="39">
        <v>8151.2</v>
      </c>
      <c r="Q39" s="39">
        <v>100.0</v>
      </c>
      <c r="R39" s="39">
        <f t="shared" si="66"/>
        <v>8251.2</v>
      </c>
      <c r="S39" s="40">
        <f t="shared" si="67"/>
        <v>0.01211944929</v>
      </c>
      <c r="T39" s="41">
        <f t="shared" si="68"/>
        <v>82.512</v>
      </c>
      <c r="U39" s="38">
        <v>650.0</v>
      </c>
      <c r="V39" s="38">
        <v>0.012</v>
      </c>
      <c r="W39" s="38">
        <v>0.34202</v>
      </c>
      <c r="X39" s="38">
        <f t="shared" si="69"/>
        <v>3333</v>
      </c>
      <c r="Y39" s="38">
        <v>0.055</v>
      </c>
      <c r="Z39" s="38">
        <v>0.1</v>
      </c>
      <c r="AA39" s="38">
        <f t="shared" si="70"/>
        <v>0.7577621168</v>
      </c>
      <c r="AB39" s="38">
        <v>3.0</v>
      </c>
      <c r="AC39" s="38">
        <v>3.0</v>
      </c>
    </row>
    <row r="40">
      <c r="Q40" s="66"/>
      <c r="R40" s="39"/>
      <c r="S40" s="40"/>
      <c r="T40" s="41"/>
    </row>
    <row r="41" ht="25.5" customHeight="1">
      <c r="A41" s="1" t="s">
        <v>49</v>
      </c>
      <c r="B41" s="2"/>
      <c r="C41" s="2"/>
      <c r="D41" s="2"/>
      <c r="E41" s="2"/>
      <c r="F41" s="2"/>
      <c r="G41" s="2"/>
      <c r="H41" s="2"/>
      <c r="I41" s="2"/>
      <c r="J41" s="3"/>
      <c r="K41" s="67"/>
      <c r="L41" s="67"/>
      <c r="M41" s="67"/>
      <c r="N41" s="67"/>
      <c r="O41" s="67"/>
      <c r="P41" s="67"/>
      <c r="Q41" s="68"/>
      <c r="R41" s="69"/>
      <c r="S41" s="70"/>
      <c r="T41" s="4"/>
      <c r="U41" s="67"/>
      <c r="V41" s="67"/>
      <c r="W41" s="67"/>
      <c r="X41" s="67"/>
      <c r="Y41" s="67"/>
      <c r="Z41" s="67"/>
      <c r="AA41" s="67"/>
      <c r="AB41" s="67"/>
      <c r="AC41" s="67"/>
    </row>
    <row r="42">
      <c r="A42" s="7" t="s">
        <v>1</v>
      </c>
      <c r="B42" s="8" t="s">
        <v>2</v>
      </c>
      <c r="C42" s="9" t="s">
        <v>3</v>
      </c>
      <c r="D42" s="9" t="s">
        <v>4</v>
      </c>
      <c r="E42" s="9" t="s">
        <v>5</v>
      </c>
      <c r="F42" s="9" t="s">
        <v>6</v>
      </c>
      <c r="G42" s="8" t="s">
        <v>7</v>
      </c>
      <c r="H42" s="10" t="s">
        <v>8</v>
      </c>
      <c r="I42" s="11" t="s">
        <v>9</v>
      </c>
      <c r="J42" s="12" t="s">
        <v>10</v>
      </c>
      <c r="K42" s="71" t="s">
        <v>11</v>
      </c>
      <c r="L42" s="71" t="s">
        <v>12</v>
      </c>
      <c r="M42" s="71" t="s">
        <v>13</v>
      </c>
      <c r="N42" s="71" t="s">
        <v>14</v>
      </c>
      <c r="O42" s="71" t="s">
        <v>15</v>
      </c>
      <c r="P42" s="71" t="s">
        <v>16</v>
      </c>
      <c r="Q42" s="72" t="s">
        <v>17</v>
      </c>
      <c r="R42" s="71" t="s">
        <v>18</v>
      </c>
      <c r="S42" s="71" t="s">
        <v>19</v>
      </c>
      <c r="T42" s="71" t="s">
        <v>20</v>
      </c>
      <c r="U42" s="71" t="s">
        <v>21</v>
      </c>
      <c r="V42" s="13" t="s">
        <v>22</v>
      </c>
      <c r="W42" s="13" t="s">
        <v>23</v>
      </c>
      <c r="X42" s="13" t="s">
        <v>24</v>
      </c>
      <c r="Y42" s="13" t="s">
        <v>25</v>
      </c>
      <c r="Z42" s="13" t="s">
        <v>26</v>
      </c>
      <c r="AA42" s="13" t="s">
        <v>27</v>
      </c>
      <c r="AB42" s="13" t="s">
        <v>28</v>
      </c>
      <c r="AC42" s="13" t="s">
        <v>29</v>
      </c>
    </row>
    <row r="43">
      <c r="A43" s="15" t="s">
        <v>30</v>
      </c>
      <c r="B43" s="16" t="s">
        <v>31</v>
      </c>
      <c r="C43" s="17" t="s">
        <v>32</v>
      </c>
      <c r="D43" s="18" t="s">
        <v>33</v>
      </c>
      <c r="E43" s="17" t="s">
        <v>34</v>
      </c>
      <c r="F43" s="19" t="s">
        <v>34</v>
      </c>
      <c r="G43" s="20" t="s">
        <v>35</v>
      </c>
      <c r="H43" s="21" t="s">
        <v>35</v>
      </c>
      <c r="I43" s="22" t="s">
        <v>36</v>
      </c>
      <c r="J43" s="23" t="s">
        <v>36</v>
      </c>
      <c r="K43" s="24" t="s">
        <v>37</v>
      </c>
      <c r="L43" s="73" t="s">
        <v>38</v>
      </c>
      <c r="M43" s="73" t="s">
        <v>38</v>
      </c>
      <c r="N43" s="73" t="s">
        <v>39</v>
      </c>
      <c r="O43" s="73" t="s">
        <v>38</v>
      </c>
      <c r="P43" s="74" t="s">
        <v>40</v>
      </c>
      <c r="Q43" s="74" t="s">
        <v>40</v>
      </c>
      <c r="R43" s="74" t="s">
        <v>40</v>
      </c>
      <c r="S43" s="74" t="s">
        <v>41</v>
      </c>
      <c r="T43" s="75" t="s">
        <v>42</v>
      </c>
      <c r="U43" s="73" t="s">
        <v>43</v>
      </c>
      <c r="V43" s="25" t="s">
        <v>38</v>
      </c>
      <c r="W43" s="25" t="s">
        <v>44</v>
      </c>
      <c r="X43" s="25" t="s">
        <v>38</v>
      </c>
      <c r="Y43" s="25" t="s">
        <v>30</v>
      </c>
      <c r="Z43" s="25" t="s">
        <v>36</v>
      </c>
      <c r="AA43" s="25" t="s">
        <v>30</v>
      </c>
      <c r="AB43" s="25" t="s">
        <v>30</v>
      </c>
      <c r="AC43" s="25" t="s">
        <v>30</v>
      </c>
    </row>
    <row r="44">
      <c r="A44" s="28">
        <v>10.0</v>
      </c>
      <c r="B44" s="29">
        <f t="shared" ref="B44:B47" si="71">K44*A44*U44/(L44)</f>
        <v>0.03267256359</v>
      </c>
      <c r="C44" s="30">
        <f t="shared" ref="C44:C47" si="72">2*PI()*T44*A44*B44*N44</f>
        <v>4234.676151</v>
      </c>
      <c r="D44" s="31">
        <f t="shared" ref="D44:D47" si="73">(B44*AA44)^2/(4*K44)*AB44*AC44</f>
        <v>621.969419</v>
      </c>
      <c r="E44" s="30">
        <f t="shared" ref="E44:E47" si="74">D44*N44</f>
        <v>15549.23548</v>
      </c>
      <c r="F44" s="32">
        <f t="shared" ref="F44:F47" si="75">((B44*AA44)^2*N44/(2*K44))*S44*AC44</f>
        <v>125.6321139</v>
      </c>
      <c r="G44" s="33">
        <f t="shared" ref="G44:G47" si="76">F44*Q44</f>
        <v>12563.21139</v>
      </c>
      <c r="H44" s="34">
        <f t="shared" ref="H44:H47" si="77">B44*U44*V44*W44*X44*T44*AB44*AC44</f>
        <v>130749.5823</v>
      </c>
      <c r="I44" s="35">
        <f>((G44+H44+Z44)/1000000)/Y44</f>
        <v>2.605688977</v>
      </c>
      <c r="J44" s="36">
        <f t="shared" ref="J44:J47" si="78">(I44+(H44+F44*Q44)/1000000)*2</f>
        <v>5.498003541</v>
      </c>
      <c r="K44" s="37">
        <v>1.2566370612699998E-6</v>
      </c>
      <c r="L44" s="38">
        <v>0.5</v>
      </c>
      <c r="M44" s="38">
        <v>50.0</v>
      </c>
      <c r="N44" s="38">
        <f t="shared" ref="N44:N47" si="79">L44*M44</f>
        <v>25</v>
      </c>
      <c r="O44" s="38">
        <v>0.2</v>
      </c>
      <c r="P44" s="39">
        <v>8151.2</v>
      </c>
      <c r="Q44" s="39">
        <v>100.0</v>
      </c>
      <c r="R44" s="39">
        <f t="shared" ref="R44:R47" si="80">P44+Q44</f>
        <v>8251.2</v>
      </c>
      <c r="S44" s="40">
        <f t="shared" ref="S44:S47" si="81">Q44/R44</f>
        <v>0.01211944929</v>
      </c>
      <c r="T44" s="41">
        <f t="shared" ref="T44:T47" si="82">R44/(2*M44)</f>
        <v>82.512</v>
      </c>
      <c r="U44" s="38">
        <v>1300.0</v>
      </c>
      <c r="V44" s="38">
        <v>0.012</v>
      </c>
      <c r="W44" s="38">
        <v>0.34202</v>
      </c>
      <c r="X44" s="38">
        <f t="shared" ref="X44:X47" si="83">2*(L44+M44)*A44</f>
        <v>1010</v>
      </c>
      <c r="Y44" s="38">
        <v>0.055</v>
      </c>
      <c r="Z44" s="38">
        <v>0.1</v>
      </c>
      <c r="AA44" s="38">
        <f t="shared" ref="AA44:AA47" si="84">(2/PI())*atan(L44/(2*O44))</f>
        <v>0.570446575</v>
      </c>
      <c r="AB44" s="38">
        <v>3.0</v>
      </c>
      <c r="AC44" s="38">
        <v>3.0</v>
      </c>
    </row>
    <row r="45">
      <c r="A45" s="42">
        <v>35.0</v>
      </c>
      <c r="B45" s="43">
        <f t="shared" si="71"/>
        <v>0.1143539726</v>
      </c>
      <c r="C45" s="44">
        <f t="shared" si="72"/>
        <v>51874.78285</v>
      </c>
      <c r="D45" s="45">
        <f t="shared" si="73"/>
        <v>7619.125383</v>
      </c>
      <c r="E45" s="44">
        <f t="shared" si="74"/>
        <v>190478.1346</v>
      </c>
      <c r="F45" s="32">
        <f t="shared" si="75"/>
        <v>1538.993395</v>
      </c>
      <c r="G45" s="46">
        <f t="shared" si="76"/>
        <v>153899.3395</v>
      </c>
      <c r="H45" s="47">
        <f t="shared" si="77"/>
        <v>1601682.384</v>
      </c>
      <c r="I45" s="35">
        <f>((G45+H45+Z44)/1000000)/Y45</f>
        <v>31.91966951</v>
      </c>
      <c r="J45" s="36">
        <f t="shared" si="78"/>
        <v>67.35050247</v>
      </c>
      <c r="K45" s="37">
        <v>1.2566370612699998E-6</v>
      </c>
      <c r="L45" s="38">
        <v>0.5</v>
      </c>
      <c r="M45" s="38">
        <v>50.0</v>
      </c>
      <c r="N45" s="38">
        <f t="shared" si="79"/>
        <v>25</v>
      </c>
      <c r="O45" s="38">
        <v>0.2</v>
      </c>
      <c r="P45" s="39">
        <v>8151.2</v>
      </c>
      <c r="Q45" s="39">
        <v>100.0</v>
      </c>
      <c r="R45" s="39">
        <f t="shared" si="80"/>
        <v>8251.2</v>
      </c>
      <c r="S45" s="40">
        <f t="shared" si="81"/>
        <v>0.01211944929</v>
      </c>
      <c r="T45" s="41">
        <f t="shared" si="82"/>
        <v>82.512</v>
      </c>
      <c r="U45" s="38">
        <v>1300.0</v>
      </c>
      <c r="V45" s="38">
        <v>0.012</v>
      </c>
      <c r="W45" s="38">
        <v>0.34202</v>
      </c>
      <c r="X45" s="38">
        <f t="shared" si="83"/>
        <v>3535</v>
      </c>
      <c r="Y45" s="38">
        <v>0.055</v>
      </c>
      <c r="Z45" s="38">
        <v>0.1</v>
      </c>
      <c r="AA45" s="38">
        <f t="shared" si="84"/>
        <v>0.570446575</v>
      </c>
      <c r="AB45" s="38">
        <v>3.0</v>
      </c>
      <c r="AC45" s="38">
        <v>3.0</v>
      </c>
    </row>
    <row r="46">
      <c r="A46" s="48">
        <v>49.0</v>
      </c>
      <c r="B46" s="49">
        <f t="shared" si="71"/>
        <v>0.1600955616</v>
      </c>
      <c r="C46" s="50">
        <f t="shared" si="72"/>
        <v>101674.5744</v>
      </c>
      <c r="D46" s="51">
        <f t="shared" si="73"/>
        <v>14933.48575</v>
      </c>
      <c r="E46" s="50">
        <f t="shared" si="74"/>
        <v>373337.1438</v>
      </c>
      <c r="F46" s="52">
        <f t="shared" si="75"/>
        <v>3016.427055</v>
      </c>
      <c r="G46" s="53">
        <f t="shared" si="76"/>
        <v>301642.7055</v>
      </c>
      <c r="H46" s="54">
        <f t="shared" si="77"/>
        <v>3139297.472</v>
      </c>
      <c r="I46" s="55">
        <f>((G46+H46+Z44)/1000000)/Y46</f>
        <v>62.5625505</v>
      </c>
      <c r="J46" s="56">
        <f t="shared" si="78"/>
        <v>132.0069813</v>
      </c>
      <c r="K46" s="37">
        <v>1.2566370612699998E-6</v>
      </c>
      <c r="L46" s="38">
        <v>0.5</v>
      </c>
      <c r="M46" s="38">
        <v>50.0</v>
      </c>
      <c r="N46" s="38">
        <f t="shared" si="79"/>
        <v>25</v>
      </c>
      <c r="O46" s="38">
        <v>0.2</v>
      </c>
      <c r="P46" s="39">
        <v>8151.2</v>
      </c>
      <c r="Q46" s="39">
        <v>100.0</v>
      </c>
      <c r="R46" s="39">
        <f t="shared" si="80"/>
        <v>8251.2</v>
      </c>
      <c r="S46" s="40">
        <f t="shared" si="81"/>
        <v>0.01211944929</v>
      </c>
      <c r="T46" s="41">
        <f t="shared" si="82"/>
        <v>82.512</v>
      </c>
      <c r="U46" s="38">
        <v>1300.0</v>
      </c>
      <c r="V46" s="38">
        <v>0.012</v>
      </c>
      <c r="W46" s="38">
        <v>0.34202</v>
      </c>
      <c r="X46" s="38">
        <f t="shared" si="83"/>
        <v>4949</v>
      </c>
      <c r="Y46" s="38">
        <v>0.055</v>
      </c>
      <c r="Z46" s="38">
        <v>0.1</v>
      </c>
      <c r="AA46" s="38">
        <f t="shared" si="84"/>
        <v>0.570446575</v>
      </c>
      <c r="AB46" s="38">
        <v>3.0</v>
      </c>
      <c r="AC46" s="38">
        <v>3.0</v>
      </c>
    </row>
    <row r="47">
      <c r="A47" s="57">
        <v>17.0</v>
      </c>
      <c r="B47" s="58">
        <f t="shared" si="71"/>
        <v>0.05554335811</v>
      </c>
      <c r="C47" s="59">
        <f t="shared" si="72"/>
        <v>12238.21408</v>
      </c>
      <c r="D47" s="60">
        <f t="shared" si="73"/>
        <v>1797.491621</v>
      </c>
      <c r="E47" s="59">
        <f t="shared" si="74"/>
        <v>44937.29052</v>
      </c>
      <c r="F47" s="61">
        <f t="shared" si="75"/>
        <v>363.0768092</v>
      </c>
      <c r="G47" s="62">
        <f t="shared" si="76"/>
        <v>36307.68092</v>
      </c>
      <c r="H47" s="63">
        <f t="shared" si="77"/>
        <v>377866.2929</v>
      </c>
      <c r="I47" s="64">
        <f>((G47+H47+Z44)/1000000)/Y47</f>
        <v>7.530437707</v>
      </c>
      <c r="J47" s="65">
        <f t="shared" si="78"/>
        <v>15.88922336</v>
      </c>
      <c r="K47" s="37">
        <v>1.2566370612699998E-6</v>
      </c>
      <c r="L47" s="38">
        <v>0.5</v>
      </c>
      <c r="M47" s="38">
        <v>50.0</v>
      </c>
      <c r="N47" s="38">
        <f t="shared" si="79"/>
        <v>25</v>
      </c>
      <c r="O47" s="38">
        <v>0.2</v>
      </c>
      <c r="P47" s="39">
        <v>8151.2</v>
      </c>
      <c r="Q47" s="39">
        <v>100.0</v>
      </c>
      <c r="R47" s="39">
        <f t="shared" si="80"/>
        <v>8251.2</v>
      </c>
      <c r="S47" s="40">
        <f t="shared" si="81"/>
        <v>0.01211944929</v>
      </c>
      <c r="T47" s="41">
        <f t="shared" si="82"/>
        <v>82.512</v>
      </c>
      <c r="U47" s="38">
        <v>1300.0</v>
      </c>
      <c r="V47" s="38">
        <v>0.012</v>
      </c>
      <c r="W47" s="38">
        <v>0.34202</v>
      </c>
      <c r="X47" s="38">
        <f t="shared" si="83"/>
        <v>1717</v>
      </c>
      <c r="Y47" s="38">
        <v>0.055</v>
      </c>
      <c r="Z47" s="38">
        <v>0.1</v>
      </c>
      <c r="AA47" s="38">
        <f t="shared" si="84"/>
        <v>0.570446575</v>
      </c>
      <c r="AB47" s="38">
        <v>3.0</v>
      </c>
      <c r="AC47" s="38">
        <v>3.0</v>
      </c>
    </row>
    <row r="48">
      <c r="Q48" s="66"/>
      <c r="R48" s="39"/>
      <c r="S48" s="40"/>
      <c r="T48" s="41"/>
    </row>
    <row r="49" ht="28.5" customHeight="1">
      <c r="A49" s="1" t="s">
        <v>50</v>
      </c>
      <c r="B49" s="2"/>
      <c r="C49" s="2"/>
      <c r="D49" s="2"/>
      <c r="E49" s="2"/>
      <c r="F49" s="2"/>
      <c r="G49" s="2"/>
      <c r="H49" s="2"/>
      <c r="I49" s="2"/>
      <c r="J49" s="3"/>
      <c r="K49" s="67"/>
      <c r="L49" s="67"/>
      <c r="M49" s="67"/>
      <c r="N49" s="67"/>
      <c r="O49" s="67"/>
      <c r="P49" s="67"/>
      <c r="Q49" s="68"/>
      <c r="R49" s="69"/>
      <c r="S49" s="70"/>
      <c r="T49" s="4"/>
      <c r="U49" s="67"/>
      <c r="V49" s="67"/>
      <c r="W49" s="67"/>
      <c r="X49" s="67"/>
      <c r="Y49" s="67"/>
      <c r="Z49" s="67"/>
      <c r="AA49" s="67"/>
      <c r="AB49" s="67"/>
      <c r="AC49" s="67"/>
    </row>
    <row r="50">
      <c r="A50" s="7" t="s">
        <v>1</v>
      </c>
      <c r="B50" s="8" t="s">
        <v>2</v>
      </c>
      <c r="C50" s="9" t="s">
        <v>3</v>
      </c>
      <c r="D50" s="9" t="s">
        <v>4</v>
      </c>
      <c r="E50" s="9" t="s">
        <v>5</v>
      </c>
      <c r="F50" s="9" t="s">
        <v>6</v>
      </c>
      <c r="G50" s="8" t="s">
        <v>7</v>
      </c>
      <c r="H50" s="10" t="s">
        <v>8</v>
      </c>
      <c r="I50" s="11" t="s">
        <v>9</v>
      </c>
      <c r="J50" s="12" t="s">
        <v>10</v>
      </c>
      <c r="K50" s="71" t="s">
        <v>11</v>
      </c>
      <c r="L50" s="71" t="s">
        <v>12</v>
      </c>
      <c r="M50" s="71" t="s">
        <v>13</v>
      </c>
      <c r="N50" s="71" t="s">
        <v>14</v>
      </c>
      <c r="O50" s="71" t="s">
        <v>15</v>
      </c>
      <c r="P50" s="71" t="s">
        <v>16</v>
      </c>
      <c r="Q50" s="72" t="s">
        <v>17</v>
      </c>
      <c r="R50" s="71" t="s">
        <v>18</v>
      </c>
      <c r="S50" s="71" t="s">
        <v>19</v>
      </c>
      <c r="T50" s="71" t="s">
        <v>20</v>
      </c>
      <c r="U50" s="71" t="s">
        <v>21</v>
      </c>
      <c r="V50" s="13" t="s">
        <v>22</v>
      </c>
      <c r="W50" s="13" t="s">
        <v>23</v>
      </c>
      <c r="X50" s="13" t="s">
        <v>24</v>
      </c>
      <c r="Y50" s="13" t="s">
        <v>25</v>
      </c>
      <c r="Z50" s="13" t="s">
        <v>26</v>
      </c>
      <c r="AA50" s="13" t="s">
        <v>27</v>
      </c>
      <c r="AB50" s="13" t="s">
        <v>28</v>
      </c>
      <c r="AC50" s="13" t="s">
        <v>29</v>
      </c>
    </row>
    <row r="51">
      <c r="A51" s="15" t="s">
        <v>30</v>
      </c>
      <c r="B51" s="16" t="s">
        <v>31</v>
      </c>
      <c r="C51" s="17" t="s">
        <v>32</v>
      </c>
      <c r="D51" s="18" t="s">
        <v>33</v>
      </c>
      <c r="E51" s="17" t="s">
        <v>34</v>
      </c>
      <c r="F51" s="19" t="s">
        <v>34</v>
      </c>
      <c r="G51" s="20" t="s">
        <v>35</v>
      </c>
      <c r="H51" s="21" t="s">
        <v>35</v>
      </c>
      <c r="I51" s="22" t="s">
        <v>36</v>
      </c>
      <c r="J51" s="23" t="s">
        <v>36</v>
      </c>
      <c r="K51" s="24" t="s">
        <v>37</v>
      </c>
      <c r="L51" s="73" t="s">
        <v>38</v>
      </c>
      <c r="M51" s="73" t="s">
        <v>38</v>
      </c>
      <c r="N51" s="73" t="s">
        <v>39</v>
      </c>
      <c r="O51" s="73" t="s">
        <v>38</v>
      </c>
      <c r="P51" s="74" t="s">
        <v>40</v>
      </c>
      <c r="Q51" s="74" t="s">
        <v>40</v>
      </c>
      <c r="R51" s="74" t="s">
        <v>40</v>
      </c>
      <c r="S51" s="74" t="s">
        <v>41</v>
      </c>
      <c r="T51" s="75" t="s">
        <v>42</v>
      </c>
      <c r="U51" s="73" t="s">
        <v>43</v>
      </c>
      <c r="V51" s="25" t="s">
        <v>38</v>
      </c>
      <c r="W51" s="25" t="s">
        <v>44</v>
      </c>
      <c r="X51" s="25" t="s">
        <v>38</v>
      </c>
      <c r="Y51" s="25" t="s">
        <v>30</v>
      </c>
      <c r="Z51" s="25" t="s">
        <v>36</v>
      </c>
      <c r="AA51" s="25" t="s">
        <v>30</v>
      </c>
      <c r="AB51" s="25" t="s">
        <v>30</v>
      </c>
      <c r="AC51" s="25" t="s">
        <v>30</v>
      </c>
    </row>
    <row r="52">
      <c r="A52" s="28">
        <v>10.0</v>
      </c>
      <c r="B52" s="29">
        <f t="shared" ref="B52:B55" si="85">K52*A52*U52/(L52)</f>
        <v>0.03267256359</v>
      </c>
      <c r="C52" s="30">
        <f t="shared" ref="C52:C55" si="86">2*PI()*T52*A52*B52*N52</f>
        <v>4234.676151</v>
      </c>
      <c r="D52" s="31">
        <f t="shared" ref="D52:D55" si="87">(B52*AA52)^2/(4*K52)*AB52*AC52</f>
        <v>1097.50083</v>
      </c>
      <c r="E52" s="30">
        <f t="shared" ref="E52:E55" si="88">D52*N52</f>
        <v>54875.04148</v>
      </c>
      <c r="F52" s="32">
        <f t="shared" ref="F52:F55" si="89">((B52*AA52)^2*N52/(2*K52))*S52*AC52</f>
        <v>443.3701884</v>
      </c>
      <c r="G52" s="33">
        <f t="shared" ref="G52:G55" si="90">F52*Q52</f>
        <v>44337.01884</v>
      </c>
      <c r="H52" s="34">
        <f t="shared" ref="H52:H55" si="91">B52*U52*V52*W52*X52*T52*AB52*AC52</f>
        <v>130102.3072</v>
      </c>
      <c r="I52" s="35">
        <f>((G52+H52+Z52)/1000000)/Y52</f>
        <v>3.171625927</v>
      </c>
      <c r="J52" s="36">
        <f t="shared" ref="J52:J55" si="92">(I52+(H52+F52*Q52)/1000000)*2</f>
        <v>6.692130507</v>
      </c>
      <c r="K52" s="37">
        <v>1.2566370612699998E-6</v>
      </c>
      <c r="L52" s="38">
        <v>0.5</v>
      </c>
      <c r="M52" s="38">
        <v>100.0</v>
      </c>
      <c r="N52" s="38">
        <f t="shared" ref="N52:N55" si="93">L52*M52</f>
        <v>50</v>
      </c>
      <c r="O52" s="38">
        <v>0.1</v>
      </c>
      <c r="P52" s="39">
        <v>8151.2</v>
      </c>
      <c r="Q52" s="39">
        <v>100.0</v>
      </c>
      <c r="R52" s="39">
        <f t="shared" ref="R52:R55" si="94">P52+Q52</f>
        <v>8251.2</v>
      </c>
      <c r="S52" s="40">
        <f t="shared" ref="S52:S55" si="95">Q52/R52</f>
        <v>0.01211944929</v>
      </c>
      <c r="T52" s="41">
        <f t="shared" ref="T52:T55" si="96">R52/(2*M52)</f>
        <v>41.256</v>
      </c>
      <c r="U52" s="38">
        <v>1300.0</v>
      </c>
      <c r="V52" s="38">
        <v>0.012</v>
      </c>
      <c r="W52" s="38">
        <v>0.34202</v>
      </c>
      <c r="X52" s="38">
        <f t="shared" ref="X52:X55" si="97">2*(L52+M52)*A52</f>
        <v>2010</v>
      </c>
      <c r="Y52" s="38">
        <v>0.055</v>
      </c>
      <c r="Z52" s="38">
        <v>0.1</v>
      </c>
      <c r="AA52" s="38">
        <f t="shared" ref="AA52:AA55" si="98">(2/PI())*atan(L52/(2*O52))</f>
        <v>0.7577621168</v>
      </c>
      <c r="AB52" s="38">
        <v>3.0</v>
      </c>
      <c r="AC52" s="38">
        <v>3.0</v>
      </c>
    </row>
    <row r="53">
      <c r="A53" s="42">
        <v>35.0</v>
      </c>
      <c r="B53" s="43">
        <f t="shared" si="85"/>
        <v>0.1143539726</v>
      </c>
      <c r="C53" s="44">
        <f t="shared" si="86"/>
        <v>51874.78285</v>
      </c>
      <c r="D53" s="45">
        <f t="shared" si="87"/>
        <v>13444.38516</v>
      </c>
      <c r="E53" s="44">
        <f t="shared" si="88"/>
        <v>672219.2581</v>
      </c>
      <c r="F53" s="32">
        <f t="shared" si="89"/>
        <v>5431.284808</v>
      </c>
      <c r="G53" s="46">
        <f t="shared" si="90"/>
        <v>543128.4808</v>
      </c>
      <c r="H53" s="47">
        <f t="shared" si="91"/>
        <v>1593753.263</v>
      </c>
      <c r="I53" s="35">
        <f>((G53+H53+Z52)/1000000)/Y53</f>
        <v>38.85239716</v>
      </c>
      <c r="J53" s="36">
        <f t="shared" si="92"/>
        <v>81.9785578</v>
      </c>
      <c r="K53" s="37">
        <v>1.2566370612699998E-6</v>
      </c>
      <c r="L53" s="38">
        <v>0.5</v>
      </c>
      <c r="M53" s="38">
        <v>100.0</v>
      </c>
      <c r="N53" s="38">
        <f t="shared" si="93"/>
        <v>50</v>
      </c>
      <c r="O53" s="38">
        <v>0.1</v>
      </c>
      <c r="P53" s="39">
        <v>8151.2</v>
      </c>
      <c r="Q53" s="39">
        <v>100.0</v>
      </c>
      <c r="R53" s="39">
        <f t="shared" si="94"/>
        <v>8251.2</v>
      </c>
      <c r="S53" s="40">
        <f t="shared" si="95"/>
        <v>0.01211944929</v>
      </c>
      <c r="T53" s="41">
        <f t="shared" si="96"/>
        <v>41.256</v>
      </c>
      <c r="U53" s="38">
        <v>1300.0</v>
      </c>
      <c r="V53" s="38">
        <v>0.012</v>
      </c>
      <c r="W53" s="38">
        <v>0.34202</v>
      </c>
      <c r="X53" s="38">
        <f t="shared" si="97"/>
        <v>7035</v>
      </c>
      <c r="Y53" s="38">
        <v>0.055</v>
      </c>
      <c r="Z53" s="38">
        <v>0.1</v>
      </c>
      <c r="AA53" s="38">
        <f t="shared" si="98"/>
        <v>0.7577621168</v>
      </c>
      <c r="AB53" s="38">
        <v>3.0</v>
      </c>
      <c r="AC53" s="38">
        <v>3.0</v>
      </c>
    </row>
    <row r="54">
      <c r="A54" s="48">
        <v>49.0</v>
      </c>
      <c r="B54" s="49">
        <f t="shared" si="85"/>
        <v>0.1600955616</v>
      </c>
      <c r="C54" s="50">
        <f t="shared" si="86"/>
        <v>101674.5744</v>
      </c>
      <c r="D54" s="51">
        <f t="shared" si="87"/>
        <v>26350.99492</v>
      </c>
      <c r="E54" s="50">
        <f t="shared" si="88"/>
        <v>1317549.746</v>
      </c>
      <c r="F54" s="52">
        <f t="shared" si="89"/>
        <v>10645.31822</v>
      </c>
      <c r="G54" s="53">
        <f t="shared" si="90"/>
        <v>1064531.822</v>
      </c>
      <c r="H54" s="54">
        <f t="shared" si="91"/>
        <v>3123756.395</v>
      </c>
      <c r="I54" s="55">
        <f>((G54+H54+Z52)/1000000)/Y54</f>
        <v>76.15069668</v>
      </c>
      <c r="J54" s="56">
        <f t="shared" si="92"/>
        <v>160.6779698</v>
      </c>
      <c r="K54" s="37">
        <v>1.2566370612699998E-6</v>
      </c>
      <c r="L54" s="38">
        <v>0.5</v>
      </c>
      <c r="M54" s="38">
        <v>100.0</v>
      </c>
      <c r="N54" s="38">
        <f t="shared" si="93"/>
        <v>50</v>
      </c>
      <c r="O54" s="38">
        <v>0.1</v>
      </c>
      <c r="P54" s="39">
        <v>8151.2</v>
      </c>
      <c r="Q54" s="39">
        <v>100.0</v>
      </c>
      <c r="R54" s="39">
        <f t="shared" si="94"/>
        <v>8251.2</v>
      </c>
      <c r="S54" s="40">
        <f t="shared" si="95"/>
        <v>0.01211944929</v>
      </c>
      <c r="T54" s="41">
        <f t="shared" si="96"/>
        <v>41.256</v>
      </c>
      <c r="U54" s="38">
        <v>1300.0</v>
      </c>
      <c r="V54" s="38">
        <v>0.012</v>
      </c>
      <c r="W54" s="38">
        <v>0.34202</v>
      </c>
      <c r="X54" s="38">
        <f t="shared" si="97"/>
        <v>9849</v>
      </c>
      <c r="Y54" s="38">
        <v>0.055</v>
      </c>
      <c r="Z54" s="38">
        <v>0.1</v>
      </c>
      <c r="AA54" s="38">
        <f t="shared" si="98"/>
        <v>0.7577621168</v>
      </c>
      <c r="AB54" s="38">
        <v>3.0</v>
      </c>
      <c r="AC54" s="38">
        <v>3.0</v>
      </c>
    </row>
    <row r="55">
      <c r="A55" s="81">
        <v>15.0</v>
      </c>
      <c r="B55" s="58">
        <f t="shared" si="85"/>
        <v>0.04900884539</v>
      </c>
      <c r="C55" s="59">
        <f t="shared" si="86"/>
        <v>9528.021339</v>
      </c>
      <c r="D55" s="60">
        <f t="shared" si="87"/>
        <v>2469.376866</v>
      </c>
      <c r="E55" s="59">
        <f t="shared" si="88"/>
        <v>123468.8433</v>
      </c>
      <c r="F55" s="61">
        <f t="shared" si="89"/>
        <v>997.5829239</v>
      </c>
      <c r="G55" s="62">
        <f t="shared" si="90"/>
        <v>99758.29239</v>
      </c>
      <c r="H55" s="63">
        <f t="shared" si="91"/>
        <v>292730.1911</v>
      </c>
      <c r="I55" s="64">
        <f>((G55+H55+Z52)/1000000)/Y55</f>
        <v>7.136156064</v>
      </c>
      <c r="J55" s="65">
        <f t="shared" si="92"/>
        <v>15.0572891</v>
      </c>
      <c r="K55" s="37">
        <v>1.2566370612699998E-6</v>
      </c>
      <c r="L55" s="38">
        <v>0.5</v>
      </c>
      <c r="M55" s="38">
        <v>100.0</v>
      </c>
      <c r="N55" s="38">
        <f t="shared" si="93"/>
        <v>50</v>
      </c>
      <c r="O55" s="38">
        <v>0.1</v>
      </c>
      <c r="P55" s="39">
        <v>8151.2</v>
      </c>
      <c r="Q55" s="39">
        <v>100.0</v>
      </c>
      <c r="R55" s="39">
        <f t="shared" si="94"/>
        <v>8251.2</v>
      </c>
      <c r="S55" s="40">
        <f t="shared" si="95"/>
        <v>0.01211944929</v>
      </c>
      <c r="T55" s="41">
        <f t="shared" si="96"/>
        <v>41.256</v>
      </c>
      <c r="U55" s="38">
        <v>1300.0</v>
      </c>
      <c r="V55" s="38">
        <v>0.012</v>
      </c>
      <c r="W55" s="38">
        <v>0.34202</v>
      </c>
      <c r="X55" s="38">
        <f t="shared" si="97"/>
        <v>3015</v>
      </c>
      <c r="Y55" s="38">
        <v>0.055</v>
      </c>
      <c r="Z55" s="38">
        <v>0.1</v>
      </c>
      <c r="AA55" s="38">
        <f t="shared" si="98"/>
        <v>0.7577621168</v>
      </c>
      <c r="AB55" s="38">
        <v>3.0</v>
      </c>
      <c r="AC55" s="38">
        <v>3.0</v>
      </c>
    </row>
    <row r="56">
      <c r="Q56" s="66"/>
      <c r="R56" s="39"/>
      <c r="S56" s="40"/>
      <c r="T56" s="41"/>
    </row>
    <row r="57">
      <c r="A57" s="1" t="s">
        <v>51</v>
      </c>
      <c r="B57" s="2"/>
      <c r="C57" s="2"/>
      <c r="D57" s="2"/>
      <c r="E57" s="2"/>
      <c r="F57" s="2"/>
      <c r="G57" s="2"/>
      <c r="H57" s="2"/>
      <c r="I57" s="2"/>
      <c r="J57" s="3"/>
      <c r="K57" s="67"/>
      <c r="L57" s="67"/>
      <c r="M57" s="67"/>
      <c r="N57" s="67"/>
      <c r="O57" s="67"/>
      <c r="P57" s="67"/>
      <c r="Q57" s="68"/>
      <c r="R57" s="69"/>
      <c r="S57" s="70"/>
      <c r="T57" s="4"/>
      <c r="U57" s="67"/>
      <c r="V57" s="67"/>
      <c r="W57" s="67"/>
      <c r="X57" s="67"/>
      <c r="Y57" s="67"/>
      <c r="Z57" s="67"/>
      <c r="AA57" s="67"/>
      <c r="AB57" s="67"/>
      <c r="AC57" s="67"/>
    </row>
    <row r="58">
      <c r="A58" s="7" t="s">
        <v>1</v>
      </c>
      <c r="B58" s="8" t="s">
        <v>2</v>
      </c>
      <c r="C58" s="9" t="s">
        <v>3</v>
      </c>
      <c r="D58" s="9" t="s">
        <v>4</v>
      </c>
      <c r="E58" s="9" t="s">
        <v>5</v>
      </c>
      <c r="F58" s="9" t="s">
        <v>6</v>
      </c>
      <c r="G58" s="8" t="s">
        <v>7</v>
      </c>
      <c r="H58" s="10" t="s">
        <v>8</v>
      </c>
      <c r="I58" s="11" t="s">
        <v>9</v>
      </c>
      <c r="J58" s="12" t="s">
        <v>10</v>
      </c>
      <c r="K58" s="71" t="s">
        <v>11</v>
      </c>
      <c r="L58" s="71" t="s">
        <v>12</v>
      </c>
      <c r="M58" s="71" t="s">
        <v>13</v>
      </c>
      <c r="N58" s="71" t="s">
        <v>14</v>
      </c>
      <c r="O58" s="71" t="s">
        <v>15</v>
      </c>
      <c r="P58" s="71" t="s">
        <v>16</v>
      </c>
      <c r="Q58" s="72" t="s">
        <v>17</v>
      </c>
      <c r="R58" s="71" t="s">
        <v>18</v>
      </c>
      <c r="S58" s="71" t="s">
        <v>19</v>
      </c>
      <c r="T58" s="71" t="s">
        <v>20</v>
      </c>
      <c r="U58" s="71" t="s">
        <v>21</v>
      </c>
      <c r="V58" s="13" t="s">
        <v>22</v>
      </c>
      <c r="W58" s="13" t="s">
        <v>23</v>
      </c>
      <c r="X58" s="13" t="s">
        <v>24</v>
      </c>
      <c r="Y58" s="13" t="s">
        <v>25</v>
      </c>
      <c r="Z58" s="13" t="s">
        <v>26</v>
      </c>
      <c r="AA58" s="13" t="s">
        <v>27</v>
      </c>
      <c r="AB58" s="13" t="s">
        <v>28</v>
      </c>
      <c r="AC58" s="13" t="s">
        <v>29</v>
      </c>
    </row>
    <row r="59">
      <c r="A59" s="15" t="s">
        <v>30</v>
      </c>
      <c r="B59" s="16" t="s">
        <v>31</v>
      </c>
      <c r="C59" s="17" t="s">
        <v>32</v>
      </c>
      <c r="D59" s="18" t="s">
        <v>33</v>
      </c>
      <c r="E59" s="17" t="s">
        <v>34</v>
      </c>
      <c r="F59" s="19" t="s">
        <v>34</v>
      </c>
      <c r="G59" s="20" t="s">
        <v>35</v>
      </c>
      <c r="H59" s="21" t="s">
        <v>35</v>
      </c>
      <c r="I59" s="22" t="s">
        <v>36</v>
      </c>
      <c r="J59" s="23" t="s">
        <v>36</v>
      </c>
      <c r="K59" s="24" t="s">
        <v>37</v>
      </c>
      <c r="L59" s="73" t="s">
        <v>38</v>
      </c>
      <c r="M59" s="73" t="s">
        <v>38</v>
      </c>
      <c r="N59" s="73" t="s">
        <v>39</v>
      </c>
      <c r="O59" s="73" t="s">
        <v>38</v>
      </c>
      <c r="P59" s="74" t="s">
        <v>40</v>
      </c>
      <c r="Q59" s="74" t="s">
        <v>40</v>
      </c>
      <c r="R59" s="74" t="s">
        <v>40</v>
      </c>
      <c r="S59" s="74" t="s">
        <v>41</v>
      </c>
      <c r="T59" s="75" t="s">
        <v>42</v>
      </c>
      <c r="U59" s="73" t="s">
        <v>43</v>
      </c>
      <c r="V59" s="25" t="s">
        <v>38</v>
      </c>
      <c r="W59" s="25" t="s">
        <v>44</v>
      </c>
      <c r="X59" s="25" t="s">
        <v>38</v>
      </c>
      <c r="Y59" s="25" t="s">
        <v>30</v>
      </c>
      <c r="Z59" s="25" t="s">
        <v>36</v>
      </c>
      <c r="AA59" s="25" t="s">
        <v>30</v>
      </c>
      <c r="AB59" s="25" t="s">
        <v>30</v>
      </c>
      <c r="AC59" s="25" t="s">
        <v>30</v>
      </c>
    </row>
    <row r="60">
      <c r="A60" s="28">
        <v>10.0</v>
      </c>
      <c r="B60" s="29">
        <f t="shared" ref="B60:B63" si="99">K60*A60*U60/(L60)</f>
        <v>0.0163362818</v>
      </c>
      <c r="C60" s="30">
        <f t="shared" ref="C60:C63" si="100">2*PI()*T60*A60*B60*N60</f>
        <v>2117.338075</v>
      </c>
      <c r="D60" s="31">
        <f t="shared" ref="D60:D63" si="101">(B60*AA60)^2/(4*K60)*AB60*AC60</f>
        <v>274.3752074</v>
      </c>
      <c r="E60" s="30">
        <f t="shared" ref="E60:E63" si="102">D60*N60</f>
        <v>13718.76037</v>
      </c>
      <c r="F60" s="32">
        <f t="shared" ref="F60:F63" si="103">((B60*AA60)^2*N60/(2*K60))*S60*AC60</f>
        <v>110.8425471</v>
      </c>
      <c r="G60" s="33">
        <f t="shared" ref="G60:G63" si="104">F60*Q60</f>
        <v>11084.25471</v>
      </c>
      <c r="H60" s="34">
        <f t="shared" ref="H60:H63" si="105">B60*U60*V60*W60*X60*T60*AB60*AC60</f>
        <v>32525.57679</v>
      </c>
      <c r="I60" s="35">
        <f>((G60+H60+Z60)/1000000)/Y60</f>
        <v>0.7929078455</v>
      </c>
      <c r="J60" s="36">
        <f t="shared" ref="J60:J63" si="106">(I60+(H60+F60*Q60)/1000000)*2</f>
        <v>1.673035354</v>
      </c>
      <c r="K60" s="37">
        <v>1.2566370612699998E-6</v>
      </c>
      <c r="L60" s="38">
        <v>0.5</v>
      </c>
      <c r="M60" s="38">
        <v>100.0</v>
      </c>
      <c r="N60" s="38">
        <f t="shared" ref="N60:N63" si="107">L60*M60</f>
        <v>50</v>
      </c>
      <c r="O60" s="38">
        <v>0.1</v>
      </c>
      <c r="P60" s="39">
        <v>8151.2</v>
      </c>
      <c r="Q60" s="39">
        <v>100.0</v>
      </c>
      <c r="R60" s="39">
        <f t="shared" ref="R60:R63" si="108">P60+Q60</f>
        <v>8251.2</v>
      </c>
      <c r="S60" s="40">
        <f t="shared" ref="S60:S63" si="109">Q60/R60</f>
        <v>0.01211944929</v>
      </c>
      <c r="T60" s="41">
        <f t="shared" ref="T60:T63" si="110">R60/(2*M60)</f>
        <v>41.256</v>
      </c>
      <c r="U60" s="38">
        <v>650.0</v>
      </c>
      <c r="V60" s="38">
        <v>0.012</v>
      </c>
      <c r="W60" s="38">
        <v>0.34202</v>
      </c>
      <c r="X60" s="38">
        <f t="shared" ref="X60:X63" si="111">2*(L60+M60)*A60</f>
        <v>2010</v>
      </c>
      <c r="Y60" s="38">
        <v>0.055</v>
      </c>
      <c r="Z60" s="38">
        <v>0.1</v>
      </c>
      <c r="AA60" s="38">
        <f t="shared" ref="AA60:AA63" si="112">(2/PI())*atan(L60/(2*O60))</f>
        <v>0.7577621168</v>
      </c>
      <c r="AB60" s="38">
        <v>3.0</v>
      </c>
      <c r="AC60" s="38">
        <v>3.0</v>
      </c>
    </row>
    <row r="61">
      <c r="A61" s="42">
        <v>61.0</v>
      </c>
      <c r="B61" s="43">
        <f t="shared" si="99"/>
        <v>0.09965131896</v>
      </c>
      <c r="C61" s="44">
        <f t="shared" si="100"/>
        <v>78786.14979</v>
      </c>
      <c r="D61" s="45">
        <f t="shared" si="101"/>
        <v>10209.50147</v>
      </c>
      <c r="E61" s="44">
        <f t="shared" si="102"/>
        <v>510475.0733</v>
      </c>
      <c r="F61" s="32">
        <f t="shared" si="103"/>
        <v>4124.451178</v>
      </c>
      <c r="G61" s="46">
        <f t="shared" si="104"/>
        <v>412445.1178</v>
      </c>
      <c r="H61" s="47">
        <f t="shared" si="105"/>
        <v>1210276.712</v>
      </c>
      <c r="I61" s="35">
        <f>((G61+H61+Z60)/1000000)/Y61</f>
        <v>29.50403509</v>
      </c>
      <c r="J61" s="36">
        <f t="shared" si="106"/>
        <v>62.25351385</v>
      </c>
      <c r="K61" s="37">
        <v>1.2566370612699998E-6</v>
      </c>
      <c r="L61" s="38">
        <v>0.5</v>
      </c>
      <c r="M61" s="38">
        <v>100.0</v>
      </c>
      <c r="N61" s="38">
        <f t="shared" si="107"/>
        <v>50</v>
      </c>
      <c r="O61" s="38">
        <v>0.1</v>
      </c>
      <c r="P61" s="39">
        <v>8151.2</v>
      </c>
      <c r="Q61" s="39">
        <v>100.0</v>
      </c>
      <c r="R61" s="39">
        <f t="shared" si="108"/>
        <v>8251.2</v>
      </c>
      <c r="S61" s="40">
        <f t="shared" si="109"/>
        <v>0.01211944929</v>
      </c>
      <c r="T61" s="41">
        <f t="shared" si="110"/>
        <v>41.256</v>
      </c>
      <c r="U61" s="38">
        <v>650.0</v>
      </c>
      <c r="V61" s="38">
        <v>0.012</v>
      </c>
      <c r="W61" s="38">
        <v>0.34202</v>
      </c>
      <c r="X61" s="38">
        <f t="shared" si="111"/>
        <v>12261</v>
      </c>
      <c r="Y61" s="38">
        <v>0.055</v>
      </c>
      <c r="Z61" s="38">
        <v>0.1</v>
      </c>
      <c r="AA61" s="38">
        <f t="shared" si="112"/>
        <v>0.7577621168</v>
      </c>
      <c r="AB61" s="38">
        <v>3.0</v>
      </c>
      <c r="AC61" s="38">
        <v>3.0</v>
      </c>
    </row>
    <row r="62">
      <c r="A62" s="48">
        <v>87.0</v>
      </c>
      <c r="B62" s="49">
        <f t="shared" si="99"/>
        <v>0.1421256516</v>
      </c>
      <c r="C62" s="50">
        <f t="shared" si="100"/>
        <v>160261.3189</v>
      </c>
      <c r="D62" s="51">
        <f t="shared" si="101"/>
        <v>20767.45945</v>
      </c>
      <c r="E62" s="50">
        <f t="shared" si="102"/>
        <v>1038372.972</v>
      </c>
      <c r="F62" s="52">
        <f t="shared" si="103"/>
        <v>8389.67239</v>
      </c>
      <c r="G62" s="53">
        <f t="shared" si="104"/>
        <v>838967.239</v>
      </c>
      <c r="H62" s="54">
        <f t="shared" si="105"/>
        <v>2461860.907</v>
      </c>
      <c r="I62" s="55">
        <f>((G62+H62+Z60)/1000000)/Y62</f>
        <v>60.01505903</v>
      </c>
      <c r="J62" s="56">
        <f t="shared" si="106"/>
        <v>126.6317743</v>
      </c>
      <c r="K62" s="37">
        <v>1.2566370612699998E-6</v>
      </c>
      <c r="L62" s="38">
        <v>0.5</v>
      </c>
      <c r="M62" s="38">
        <v>100.0</v>
      </c>
      <c r="N62" s="38">
        <f t="shared" si="107"/>
        <v>50</v>
      </c>
      <c r="O62" s="38">
        <v>0.1</v>
      </c>
      <c r="P62" s="39">
        <v>8151.2</v>
      </c>
      <c r="Q62" s="39">
        <v>100.0</v>
      </c>
      <c r="R62" s="39">
        <f t="shared" si="108"/>
        <v>8251.2</v>
      </c>
      <c r="S62" s="40">
        <f t="shared" si="109"/>
        <v>0.01211944929</v>
      </c>
      <c r="T62" s="41">
        <f t="shared" si="110"/>
        <v>41.256</v>
      </c>
      <c r="U62" s="38">
        <v>650.0</v>
      </c>
      <c r="V62" s="38">
        <v>0.012</v>
      </c>
      <c r="W62" s="38">
        <v>0.34202</v>
      </c>
      <c r="X62" s="38">
        <f t="shared" si="111"/>
        <v>17487</v>
      </c>
      <c r="Y62" s="38">
        <v>0.055</v>
      </c>
      <c r="Z62" s="38">
        <v>0.1</v>
      </c>
      <c r="AA62" s="38">
        <f t="shared" si="112"/>
        <v>0.7577621168</v>
      </c>
      <c r="AB62" s="38">
        <v>3.0</v>
      </c>
      <c r="AC62" s="38">
        <v>3.0</v>
      </c>
    </row>
    <row r="63">
      <c r="A63" s="81">
        <v>30.0</v>
      </c>
      <c r="B63" s="58">
        <f t="shared" si="99"/>
        <v>0.04900884539</v>
      </c>
      <c r="C63" s="59">
        <f t="shared" si="100"/>
        <v>19056.04268</v>
      </c>
      <c r="D63" s="60">
        <f t="shared" si="101"/>
        <v>2469.376866</v>
      </c>
      <c r="E63" s="59">
        <f t="shared" si="102"/>
        <v>123468.8433</v>
      </c>
      <c r="F63" s="61">
        <f t="shared" si="103"/>
        <v>997.5829239</v>
      </c>
      <c r="G63" s="62">
        <f t="shared" si="104"/>
        <v>99758.29239</v>
      </c>
      <c r="H63" s="63">
        <f t="shared" si="105"/>
        <v>292730.1911</v>
      </c>
      <c r="I63" s="64">
        <f>((G63+H63+Z60)/1000000)/Y63</f>
        <v>7.136156064</v>
      </c>
      <c r="J63" s="65">
        <f t="shared" si="106"/>
        <v>15.0572891</v>
      </c>
      <c r="K63" s="37">
        <v>1.2566370612699998E-6</v>
      </c>
      <c r="L63" s="38">
        <v>0.5</v>
      </c>
      <c r="M63" s="38">
        <v>100.0</v>
      </c>
      <c r="N63" s="38">
        <f t="shared" si="107"/>
        <v>50</v>
      </c>
      <c r="O63" s="38">
        <v>0.1</v>
      </c>
      <c r="P63" s="39">
        <v>8151.2</v>
      </c>
      <c r="Q63" s="39">
        <v>100.0</v>
      </c>
      <c r="R63" s="39">
        <f t="shared" si="108"/>
        <v>8251.2</v>
      </c>
      <c r="S63" s="40">
        <f t="shared" si="109"/>
        <v>0.01211944929</v>
      </c>
      <c r="T63" s="41">
        <f t="shared" si="110"/>
        <v>41.256</v>
      </c>
      <c r="U63" s="38">
        <v>650.0</v>
      </c>
      <c r="V63" s="38">
        <v>0.012</v>
      </c>
      <c r="W63" s="38">
        <v>0.34202</v>
      </c>
      <c r="X63" s="38">
        <f t="shared" si="111"/>
        <v>6030</v>
      </c>
      <c r="Y63" s="38">
        <v>0.055</v>
      </c>
      <c r="Z63" s="38">
        <v>0.1</v>
      </c>
      <c r="AA63" s="38">
        <f t="shared" si="112"/>
        <v>0.7577621168</v>
      </c>
      <c r="AB63" s="38">
        <v>3.0</v>
      </c>
      <c r="AC63" s="38">
        <v>3.0</v>
      </c>
    </row>
    <row r="64">
      <c r="F64" s="82"/>
      <c r="Q64" s="66"/>
    </row>
    <row r="65">
      <c r="F65" s="82"/>
      <c r="Q65" s="66"/>
    </row>
    <row r="66">
      <c r="F66" s="82"/>
      <c r="Q66" s="66"/>
    </row>
    <row r="67">
      <c r="F67" s="82"/>
      <c r="Q67" s="66"/>
    </row>
    <row r="68">
      <c r="F68" s="82"/>
      <c r="Q68" s="66"/>
    </row>
    <row r="69">
      <c r="F69" s="82"/>
      <c r="Q69" s="66"/>
    </row>
    <row r="70">
      <c r="F70" s="82"/>
      <c r="Q70" s="66"/>
    </row>
    <row r="71">
      <c r="F71" s="82"/>
      <c r="Q71" s="66"/>
    </row>
    <row r="72">
      <c r="F72" s="82"/>
      <c r="Q72" s="66"/>
    </row>
    <row r="73">
      <c r="F73" s="82"/>
      <c r="Q73" s="66"/>
    </row>
    <row r="74">
      <c r="F74" s="82"/>
      <c r="Q74" s="66"/>
    </row>
    <row r="75">
      <c r="F75" s="82"/>
      <c r="Q75" s="66"/>
    </row>
    <row r="76">
      <c r="F76" s="82"/>
      <c r="Q76" s="66"/>
    </row>
    <row r="77">
      <c r="F77" s="82"/>
      <c r="Q77" s="66"/>
    </row>
    <row r="78">
      <c r="F78" s="82"/>
      <c r="Q78" s="66"/>
    </row>
    <row r="79">
      <c r="F79" s="82"/>
      <c r="Q79" s="66"/>
    </row>
    <row r="80">
      <c r="F80" s="82"/>
      <c r="Q80" s="66"/>
    </row>
    <row r="81">
      <c r="F81" s="82"/>
      <c r="Q81" s="66"/>
    </row>
    <row r="82">
      <c r="F82" s="82"/>
      <c r="Q82" s="66"/>
    </row>
    <row r="83">
      <c r="F83" s="82"/>
      <c r="Q83" s="66"/>
    </row>
    <row r="84">
      <c r="F84" s="82"/>
      <c r="Q84" s="66"/>
    </row>
    <row r="85">
      <c r="F85" s="82"/>
      <c r="Q85" s="66"/>
    </row>
    <row r="86">
      <c r="F86" s="82"/>
      <c r="Q86" s="66"/>
    </row>
    <row r="87">
      <c r="F87" s="82"/>
      <c r="Q87" s="66"/>
    </row>
    <row r="88">
      <c r="F88" s="82"/>
      <c r="Q88" s="66"/>
    </row>
    <row r="89">
      <c r="F89" s="82"/>
      <c r="Q89" s="66"/>
    </row>
    <row r="90">
      <c r="F90" s="82"/>
      <c r="Q90" s="66"/>
    </row>
    <row r="91">
      <c r="F91" s="82"/>
      <c r="Q91" s="66"/>
    </row>
    <row r="92">
      <c r="F92" s="82"/>
      <c r="Q92" s="66"/>
    </row>
    <row r="93">
      <c r="F93" s="82"/>
      <c r="Q93" s="66"/>
    </row>
    <row r="94">
      <c r="F94" s="82"/>
      <c r="Q94" s="66"/>
    </row>
    <row r="95">
      <c r="F95" s="82"/>
      <c r="Q95" s="66"/>
    </row>
    <row r="96">
      <c r="F96" s="82"/>
      <c r="Q96" s="66"/>
    </row>
    <row r="97">
      <c r="F97" s="82"/>
      <c r="Q97" s="66"/>
    </row>
    <row r="98">
      <c r="F98" s="82"/>
      <c r="Q98" s="66"/>
    </row>
    <row r="99">
      <c r="F99" s="82"/>
      <c r="Q99" s="66"/>
    </row>
    <row r="100">
      <c r="F100" s="82"/>
      <c r="Q100" s="66"/>
    </row>
    <row r="101">
      <c r="F101" s="82"/>
      <c r="Q101" s="66"/>
    </row>
    <row r="102">
      <c r="F102" s="82"/>
      <c r="Q102" s="66"/>
    </row>
    <row r="103">
      <c r="F103" s="82"/>
      <c r="Q103" s="66"/>
    </row>
    <row r="104">
      <c r="F104" s="82"/>
      <c r="Q104" s="66"/>
    </row>
    <row r="105">
      <c r="F105" s="82"/>
      <c r="Q105" s="66"/>
    </row>
    <row r="106">
      <c r="F106" s="82"/>
      <c r="Q106" s="66"/>
    </row>
    <row r="107">
      <c r="F107" s="82"/>
      <c r="Q107" s="66"/>
    </row>
    <row r="108">
      <c r="F108" s="82"/>
      <c r="Q108" s="66"/>
    </row>
    <row r="109">
      <c r="F109" s="82"/>
      <c r="Q109" s="66"/>
    </row>
    <row r="110">
      <c r="F110" s="82"/>
      <c r="Q110" s="66"/>
    </row>
    <row r="111">
      <c r="F111" s="82"/>
      <c r="Q111" s="66"/>
    </row>
    <row r="112">
      <c r="F112" s="82"/>
      <c r="Q112" s="66"/>
    </row>
    <row r="113">
      <c r="F113" s="82"/>
      <c r="Q113" s="66"/>
    </row>
    <row r="114">
      <c r="F114" s="82"/>
      <c r="Q114" s="66"/>
    </row>
    <row r="115">
      <c r="F115" s="82"/>
      <c r="Q115" s="66"/>
    </row>
    <row r="116">
      <c r="F116" s="82"/>
      <c r="Q116" s="66"/>
    </row>
    <row r="117">
      <c r="F117" s="82"/>
      <c r="Q117" s="66"/>
    </row>
    <row r="118">
      <c r="F118" s="82"/>
      <c r="Q118" s="66"/>
    </row>
    <row r="119">
      <c r="F119" s="82"/>
      <c r="Q119" s="66"/>
    </row>
    <row r="120">
      <c r="F120" s="82"/>
      <c r="Q120" s="66"/>
    </row>
    <row r="121">
      <c r="F121" s="82"/>
      <c r="Q121" s="66"/>
    </row>
    <row r="122">
      <c r="F122" s="82"/>
      <c r="Q122" s="66"/>
    </row>
    <row r="123">
      <c r="F123" s="82"/>
      <c r="Q123" s="66"/>
    </row>
    <row r="124">
      <c r="F124" s="82"/>
      <c r="Q124" s="66"/>
    </row>
    <row r="125">
      <c r="F125" s="82"/>
      <c r="Q125" s="66"/>
    </row>
    <row r="126">
      <c r="F126" s="82"/>
      <c r="Q126" s="66"/>
    </row>
    <row r="127">
      <c r="F127" s="82"/>
      <c r="Q127" s="66"/>
    </row>
    <row r="128">
      <c r="F128" s="82"/>
      <c r="Q128" s="66"/>
    </row>
    <row r="129">
      <c r="F129" s="82"/>
      <c r="Q129" s="66"/>
    </row>
    <row r="130">
      <c r="F130" s="82"/>
      <c r="Q130" s="66"/>
    </row>
    <row r="131">
      <c r="F131" s="82"/>
      <c r="Q131" s="66"/>
    </row>
    <row r="132">
      <c r="F132" s="82"/>
      <c r="Q132" s="66"/>
    </row>
    <row r="133">
      <c r="F133" s="82"/>
      <c r="Q133" s="66"/>
    </row>
    <row r="134">
      <c r="F134" s="82"/>
      <c r="Q134" s="66"/>
    </row>
    <row r="135">
      <c r="F135" s="82"/>
      <c r="Q135" s="66"/>
    </row>
    <row r="136">
      <c r="F136" s="82"/>
      <c r="Q136" s="66"/>
    </row>
    <row r="137">
      <c r="F137" s="82"/>
      <c r="Q137" s="66"/>
    </row>
    <row r="138">
      <c r="F138" s="82"/>
      <c r="Q138" s="66"/>
    </row>
    <row r="139">
      <c r="F139" s="82"/>
      <c r="Q139" s="66"/>
    </row>
    <row r="140">
      <c r="F140" s="82"/>
      <c r="Q140" s="66"/>
    </row>
    <row r="141">
      <c r="F141" s="82"/>
      <c r="Q141" s="66"/>
    </row>
    <row r="142">
      <c r="F142" s="82"/>
      <c r="Q142" s="66"/>
    </row>
    <row r="143">
      <c r="F143" s="82"/>
      <c r="Q143" s="66"/>
    </row>
    <row r="144">
      <c r="F144" s="82"/>
      <c r="Q144" s="66"/>
    </row>
    <row r="145">
      <c r="F145" s="82"/>
      <c r="Q145" s="66"/>
    </row>
    <row r="146">
      <c r="F146" s="82"/>
      <c r="Q146" s="66"/>
    </row>
    <row r="147">
      <c r="F147" s="82"/>
      <c r="Q147" s="66"/>
    </row>
    <row r="148">
      <c r="F148" s="82"/>
      <c r="Q148" s="66"/>
    </row>
    <row r="149">
      <c r="F149" s="82"/>
      <c r="Q149" s="66"/>
    </row>
    <row r="150">
      <c r="F150" s="82"/>
      <c r="Q150" s="66"/>
    </row>
    <row r="151">
      <c r="F151" s="82"/>
      <c r="Q151" s="66"/>
    </row>
    <row r="152">
      <c r="F152" s="82"/>
      <c r="Q152" s="66"/>
    </row>
    <row r="153">
      <c r="F153" s="82"/>
      <c r="Q153" s="66"/>
    </row>
    <row r="154">
      <c r="F154" s="82"/>
      <c r="Q154" s="66"/>
    </row>
    <row r="155">
      <c r="F155" s="82"/>
      <c r="Q155" s="66"/>
    </row>
    <row r="156">
      <c r="F156" s="82"/>
      <c r="Q156" s="66"/>
    </row>
    <row r="157">
      <c r="F157" s="82"/>
      <c r="Q157" s="66"/>
    </row>
    <row r="158">
      <c r="F158" s="82"/>
      <c r="Q158" s="66"/>
    </row>
    <row r="159">
      <c r="F159" s="82"/>
      <c r="Q159" s="66"/>
    </row>
    <row r="160">
      <c r="F160" s="82"/>
      <c r="Q160" s="66"/>
    </row>
    <row r="161">
      <c r="F161" s="82"/>
      <c r="Q161" s="66"/>
    </row>
    <row r="162">
      <c r="F162" s="82"/>
      <c r="Q162" s="66"/>
    </row>
    <row r="163">
      <c r="F163" s="82"/>
      <c r="Q163" s="66"/>
    </row>
    <row r="164">
      <c r="F164" s="82"/>
      <c r="Q164" s="66"/>
    </row>
    <row r="165">
      <c r="F165" s="82"/>
      <c r="Q165" s="66"/>
    </row>
    <row r="166">
      <c r="F166" s="82"/>
      <c r="Q166" s="66"/>
    </row>
    <row r="167">
      <c r="F167" s="82"/>
      <c r="Q167" s="66"/>
    </row>
    <row r="168">
      <c r="F168" s="82"/>
      <c r="Q168" s="66"/>
    </row>
    <row r="169">
      <c r="F169" s="82"/>
      <c r="Q169" s="66"/>
    </row>
    <row r="170">
      <c r="F170" s="82"/>
      <c r="Q170" s="66"/>
    </row>
    <row r="171">
      <c r="F171" s="82"/>
      <c r="Q171" s="66"/>
    </row>
    <row r="172">
      <c r="F172" s="82"/>
      <c r="Q172" s="66"/>
    </row>
    <row r="173">
      <c r="F173" s="82"/>
      <c r="Q173" s="66"/>
    </row>
    <row r="174">
      <c r="F174" s="82"/>
      <c r="Q174" s="66"/>
    </row>
    <row r="175">
      <c r="F175" s="82"/>
      <c r="Q175" s="66"/>
    </row>
    <row r="176">
      <c r="F176" s="82"/>
      <c r="Q176" s="66"/>
    </row>
    <row r="177">
      <c r="F177" s="82"/>
      <c r="Q177" s="66"/>
    </row>
    <row r="178">
      <c r="F178" s="82"/>
      <c r="Q178" s="66"/>
    </row>
    <row r="179">
      <c r="F179" s="82"/>
      <c r="Q179" s="66"/>
    </row>
    <row r="180">
      <c r="F180" s="82"/>
      <c r="Q180" s="66"/>
    </row>
    <row r="181">
      <c r="F181" s="82"/>
      <c r="Q181" s="66"/>
    </row>
    <row r="182">
      <c r="F182" s="82"/>
      <c r="Q182" s="66"/>
    </row>
    <row r="183">
      <c r="F183" s="82"/>
      <c r="Q183" s="66"/>
    </row>
    <row r="184">
      <c r="F184" s="82"/>
      <c r="Q184" s="66"/>
    </row>
    <row r="185">
      <c r="F185" s="82"/>
      <c r="Q185" s="66"/>
    </row>
    <row r="186">
      <c r="F186" s="82"/>
      <c r="Q186" s="66"/>
    </row>
    <row r="187">
      <c r="F187" s="82"/>
      <c r="Q187" s="66"/>
    </row>
    <row r="188">
      <c r="F188" s="82"/>
      <c r="Q188" s="66"/>
    </row>
    <row r="189">
      <c r="F189" s="82"/>
      <c r="Q189" s="66"/>
    </row>
    <row r="190">
      <c r="F190" s="82"/>
      <c r="Q190" s="66"/>
    </row>
    <row r="191">
      <c r="F191" s="82"/>
      <c r="Q191" s="66"/>
    </row>
    <row r="192">
      <c r="F192" s="82"/>
      <c r="Q192" s="66"/>
    </row>
    <row r="193">
      <c r="F193" s="82"/>
      <c r="Q193" s="66"/>
    </row>
    <row r="194">
      <c r="F194" s="82"/>
      <c r="Q194" s="66"/>
    </row>
    <row r="195">
      <c r="F195" s="82"/>
      <c r="Q195" s="66"/>
    </row>
    <row r="196">
      <c r="F196" s="82"/>
      <c r="Q196" s="66"/>
    </row>
    <row r="197">
      <c r="F197" s="82"/>
      <c r="Q197" s="66"/>
    </row>
    <row r="198">
      <c r="F198" s="82"/>
      <c r="Q198" s="66"/>
    </row>
    <row r="199">
      <c r="F199" s="82"/>
      <c r="Q199" s="66"/>
    </row>
    <row r="200">
      <c r="F200" s="82"/>
      <c r="Q200" s="66"/>
    </row>
    <row r="201">
      <c r="F201" s="82"/>
      <c r="Q201" s="66"/>
    </row>
    <row r="202">
      <c r="F202" s="82"/>
      <c r="Q202" s="66"/>
    </row>
    <row r="203">
      <c r="F203" s="82"/>
      <c r="Q203" s="66"/>
    </row>
    <row r="204">
      <c r="F204" s="82"/>
      <c r="Q204" s="66"/>
    </row>
    <row r="205">
      <c r="F205" s="82"/>
      <c r="Q205" s="66"/>
    </row>
    <row r="206">
      <c r="F206" s="82"/>
      <c r="Q206" s="66"/>
    </row>
    <row r="207">
      <c r="F207" s="82"/>
      <c r="Q207" s="66"/>
    </row>
    <row r="208">
      <c r="F208" s="82"/>
      <c r="Q208" s="66"/>
    </row>
    <row r="209">
      <c r="F209" s="82"/>
      <c r="Q209" s="66"/>
    </row>
    <row r="210">
      <c r="F210" s="82"/>
      <c r="Q210" s="66"/>
    </row>
    <row r="211">
      <c r="F211" s="82"/>
      <c r="Q211" s="66"/>
    </row>
    <row r="212">
      <c r="F212" s="82"/>
      <c r="Q212" s="66"/>
    </row>
    <row r="213">
      <c r="F213" s="82"/>
      <c r="Q213" s="66"/>
    </row>
    <row r="214">
      <c r="F214" s="82"/>
      <c r="Q214" s="66"/>
    </row>
    <row r="215">
      <c r="F215" s="82"/>
      <c r="Q215" s="66"/>
    </row>
    <row r="216">
      <c r="F216" s="82"/>
      <c r="Q216" s="66"/>
    </row>
    <row r="217">
      <c r="F217" s="82"/>
      <c r="Q217" s="66"/>
    </row>
    <row r="218">
      <c r="F218" s="82"/>
      <c r="Q218" s="66"/>
    </row>
    <row r="219">
      <c r="F219" s="82"/>
      <c r="Q219" s="66"/>
    </row>
    <row r="220">
      <c r="F220" s="82"/>
      <c r="Q220" s="66"/>
    </row>
    <row r="221">
      <c r="F221" s="82"/>
      <c r="Q221" s="66"/>
    </row>
    <row r="222">
      <c r="F222" s="82"/>
      <c r="Q222" s="66"/>
    </row>
    <row r="223">
      <c r="F223" s="82"/>
      <c r="Q223" s="66"/>
    </row>
    <row r="224">
      <c r="F224" s="82"/>
      <c r="Q224" s="66"/>
    </row>
    <row r="225">
      <c r="F225" s="82"/>
      <c r="Q225" s="66"/>
    </row>
    <row r="226">
      <c r="F226" s="82"/>
      <c r="Q226" s="66"/>
    </row>
    <row r="227">
      <c r="F227" s="82"/>
      <c r="Q227" s="66"/>
    </row>
    <row r="228">
      <c r="F228" s="82"/>
      <c r="Q228" s="66"/>
    </row>
    <row r="229">
      <c r="F229" s="82"/>
      <c r="Q229" s="66"/>
    </row>
    <row r="230">
      <c r="F230" s="82"/>
      <c r="Q230" s="66"/>
    </row>
    <row r="231">
      <c r="F231" s="82"/>
      <c r="Q231" s="66"/>
    </row>
    <row r="232">
      <c r="F232" s="82"/>
      <c r="Q232" s="66"/>
    </row>
    <row r="233">
      <c r="F233" s="82"/>
      <c r="Q233" s="66"/>
    </row>
    <row r="234">
      <c r="F234" s="82"/>
      <c r="Q234" s="66"/>
    </row>
    <row r="235">
      <c r="F235" s="82"/>
      <c r="Q235" s="66"/>
    </row>
    <row r="236">
      <c r="F236" s="82"/>
      <c r="Q236" s="66"/>
    </row>
    <row r="237">
      <c r="F237" s="82"/>
      <c r="Q237" s="66"/>
    </row>
    <row r="238">
      <c r="F238" s="82"/>
      <c r="Q238" s="66"/>
    </row>
    <row r="239">
      <c r="F239" s="82"/>
      <c r="Q239" s="66"/>
    </row>
    <row r="240">
      <c r="F240" s="82"/>
      <c r="Q240" s="66"/>
    </row>
    <row r="241">
      <c r="F241" s="82"/>
      <c r="Q241" s="66"/>
    </row>
    <row r="242">
      <c r="F242" s="82"/>
      <c r="Q242" s="66"/>
    </row>
    <row r="243">
      <c r="F243" s="82"/>
      <c r="Q243" s="66"/>
    </row>
    <row r="244">
      <c r="F244" s="82"/>
      <c r="Q244" s="66"/>
    </row>
    <row r="245">
      <c r="F245" s="82"/>
      <c r="Q245" s="66"/>
    </row>
    <row r="246">
      <c r="F246" s="82"/>
      <c r="Q246" s="66"/>
    </row>
    <row r="247">
      <c r="F247" s="82"/>
      <c r="Q247" s="66"/>
    </row>
    <row r="248">
      <c r="F248" s="82"/>
      <c r="Q248" s="66"/>
    </row>
    <row r="249">
      <c r="F249" s="82"/>
      <c r="Q249" s="66"/>
    </row>
    <row r="250">
      <c r="F250" s="82"/>
      <c r="Q250" s="66"/>
    </row>
    <row r="251">
      <c r="F251" s="82"/>
      <c r="Q251" s="66"/>
    </row>
    <row r="252">
      <c r="F252" s="82"/>
      <c r="Q252" s="66"/>
    </row>
    <row r="253">
      <c r="F253" s="82"/>
      <c r="Q253" s="66"/>
    </row>
    <row r="254">
      <c r="F254" s="82"/>
      <c r="Q254" s="66"/>
    </row>
    <row r="255">
      <c r="F255" s="82"/>
      <c r="Q255" s="66"/>
    </row>
    <row r="256">
      <c r="F256" s="82"/>
      <c r="Q256" s="66"/>
    </row>
    <row r="257">
      <c r="F257" s="82"/>
      <c r="Q257" s="66"/>
    </row>
    <row r="258">
      <c r="F258" s="82"/>
      <c r="Q258" s="66"/>
    </row>
    <row r="259">
      <c r="F259" s="82"/>
      <c r="Q259" s="66"/>
    </row>
    <row r="260">
      <c r="F260" s="82"/>
      <c r="Q260" s="66"/>
    </row>
    <row r="261">
      <c r="F261" s="82"/>
      <c r="Q261" s="66"/>
    </row>
    <row r="262">
      <c r="F262" s="82"/>
      <c r="Q262" s="66"/>
    </row>
    <row r="263">
      <c r="F263" s="82"/>
      <c r="Q263" s="66"/>
    </row>
    <row r="264">
      <c r="F264" s="82"/>
      <c r="Q264" s="66"/>
    </row>
    <row r="265">
      <c r="F265" s="82"/>
      <c r="Q265" s="66"/>
    </row>
    <row r="266">
      <c r="F266" s="82"/>
      <c r="Q266" s="66"/>
    </row>
    <row r="267">
      <c r="F267" s="82"/>
      <c r="Q267" s="66"/>
    </row>
    <row r="268">
      <c r="F268" s="82"/>
      <c r="Q268" s="66"/>
    </row>
    <row r="269">
      <c r="F269" s="82"/>
      <c r="Q269" s="66"/>
    </row>
    <row r="270">
      <c r="F270" s="82"/>
      <c r="Q270" s="66"/>
    </row>
    <row r="271">
      <c r="F271" s="82"/>
      <c r="Q271" s="66"/>
    </row>
    <row r="272">
      <c r="F272" s="82"/>
      <c r="Q272" s="66"/>
    </row>
    <row r="273">
      <c r="F273" s="82"/>
      <c r="Q273" s="66"/>
    </row>
    <row r="274">
      <c r="F274" s="82"/>
      <c r="Q274" s="66"/>
    </row>
    <row r="275">
      <c r="F275" s="82"/>
      <c r="Q275" s="66"/>
    </row>
    <row r="276">
      <c r="F276" s="82"/>
      <c r="Q276" s="66"/>
    </row>
    <row r="277">
      <c r="F277" s="82"/>
      <c r="Q277" s="66"/>
    </row>
    <row r="278">
      <c r="F278" s="82"/>
      <c r="Q278" s="66"/>
    </row>
    <row r="279">
      <c r="F279" s="82"/>
      <c r="Q279" s="66"/>
    </row>
    <row r="280">
      <c r="F280" s="82"/>
      <c r="Q280" s="66"/>
    </row>
    <row r="281">
      <c r="F281" s="82"/>
      <c r="Q281" s="66"/>
    </row>
    <row r="282">
      <c r="F282" s="82"/>
      <c r="Q282" s="66"/>
    </row>
    <row r="283">
      <c r="F283" s="82"/>
      <c r="Q283" s="66"/>
    </row>
    <row r="284">
      <c r="F284" s="82"/>
      <c r="Q284" s="66"/>
    </row>
    <row r="285">
      <c r="F285" s="82"/>
      <c r="Q285" s="66"/>
    </row>
    <row r="286">
      <c r="F286" s="82"/>
      <c r="Q286" s="66"/>
    </row>
    <row r="287">
      <c r="F287" s="82"/>
      <c r="Q287" s="66"/>
    </row>
    <row r="288">
      <c r="F288" s="82"/>
      <c r="Q288" s="66"/>
    </row>
    <row r="289">
      <c r="F289" s="82"/>
      <c r="Q289" s="66"/>
    </row>
    <row r="290">
      <c r="F290" s="82"/>
      <c r="Q290" s="66"/>
    </row>
    <row r="291">
      <c r="F291" s="82"/>
      <c r="Q291" s="66"/>
    </row>
    <row r="292">
      <c r="F292" s="82"/>
      <c r="Q292" s="66"/>
    </row>
    <row r="293">
      <c r="F293" s="82"/>
      <c r="Q293" s="66"/>
    </row>
    <row r="294">
      <c r="F294" s="82"/>
      <c r="Q294" s="66"/>
    </row>
    <row r="295">
      <c r="F295" s="82"/>
      <c r="Q295" s="66"/>
    </row>
    <row r="296">
      <c r="F296" s="82"/>
      <c r="Q296" s="66"/>
    </row>
    <row r="297">
      <c r="F297" s="82"/>
      <c r="Q297" s="66"/>
    </row>
    <row r="298">
      <c r="F298" s="82"/>
      <c r="Q298" s="66"/>
    </row>
    <row r="299">
      <c r="F299" s="82"/>
      <c r="Q299" s="66"/>
    </row>
    <row r="300">
      <c r="F300" s="82"/>
      <c r="Q300" s="66"/>
    </row>
    <row r="301">
      <c r="F301" s="82"/>
      <c r="Q301" s="66"/>
    </row>
    <row r="302">
      <c r="F302" s="82"/>
      <c r="Q302" s="66"/>
    </row>
    <row r="303">
      <c r="F303" s="82"/>
      <c r="Q303" s="66"/>
    </row>
    <row r="304">
      <c r="F304" s="82"/>
      <c r="Q304" s="66"/>
    </row>
    <row r="305">
      <c r="F305" s="82"/>
      <c r="Q305" s="66"/>
    </row>
    <row r="306">
      <c r="F306" s="82"/>
      <c r="Q306" s="66"/>
    </row>
    <row r="307">
      <c r="F307" s="82"/>
      <c r="Q307" s="66"/>
    </row>
    <row r="308">
      <c r="F308" s="82"/>
      <c r="Q308" s="66"/>
    </row>
    <row r="309">
      <c r="F309" s="82"/>
      <c r="Q309" s="66"/>
    </row>
    <row r="310">
      <c r="F310" s="82"/>
      <c r="Q310" s="66"/>
    </row>
    <row r="311">
      <c r="F311" s="82"/>
      <c r="Q311" s="66"/>
    </row>
    <row r="312">
      <c r="F312" s="82"/>
      <c r="Q312" s="66"/>
    </row>
    <row r="313">
      <c r="F313" s="82"/>
      <c r="Q313" s="66"/>
    </row>
    <row r="314">
      <c r="F314" s="82"/>
      <c r="Q314" s="66"/>
    </row>
    <row r="315">
      <c r="F315" s="82"/>
      <c r="Q315" s="66"/>
    </row>
    <row r="316">
      <c r="F316" s="82"/>
      <c r="Q316" s="66"/>
    </row>
    <row r="317">
      <c r="F317" s="82"/>
      <c r="Q317" s="66"/>
    </row>
    <row r="318">
      <c r="F318" s="82"/>
      <c r="Q318" s="66"/>
    </row>
    <row r="319">
      <c r="F319" s="82"/>
      <c r="Q319" s="66"/>
    </row>
    <row r="320">
      <c r="F320" s="82"/>
      <c r="Q320" s="66"/>
    </row>
    <row r="321">
      <c r="F321" s="82"/>
      <c r="Q321" s="66"/>
    </row>
    <row r="322">
      <c r="F322" s="82"/>
      <c r="Q322" s="66"/>
    </row>
    <row r="323">
      <c r="F323" s="82"/>
      <c r="Q323" s="66"/>
    </row>
    <row r="324">
      <c r="F324" s="82"/>
      <c r="Q324" s="66"/>
    </row>
    <row r="325">
      <c r="F325" s="82"/>
      <c r="Q325" s="66"/>
    </row>
    <row r="326">
      <c r="F326" s="82"/>
      <c r="Q326" s="66"/>
    </row>
    <row r="327">
      <c r="F327" s="82"/>
      <c r="Q327" s="66"/>
    </row>
    <row r="328">
      <c r="F328" s="82"/>
      <c r="Q328" s="66"/>
    </row>
    <row r="329">
      <c r="F329" s="82"/>
      <c r="Q329" s="66"/>
    </row>
    <row r="330">
      <c r="F330" s="82"/>
      <c r="Q330" s="66"/>
    </row>
    <row r="331">
      <c r="F331" s="82"/>
      <c r="Q331" s="66"/>
    </row>
    <row r="332">
      <c r="F332" s="82"/>
      <c r="Q332" s="66"/>
    </row>
    <row r="333">
      <c r="F333" s="82"/>
      <c r="Q333" s="66"/>
    </row>
    <row r="334">
      <c r="F334" s="82"/>
      <c r="Q334" s="66"/>
    </row>
    <row r="335">
      <c r="F335" s="82"/>
      <c r="Q335" s="66"/>
    </row>
    <row r="336">
      <c r="F336" s="82"/>
      <c r="Q336" s="66"/>
    </row>
    <row r="337">
      <c r="F337" s="82"/>
      <c r="Q337" s="66"/>
    </row>
    <row r="338">
      <c r="F338" s="82"/>
      <c r="Q338" s="66"/>
    </row>
    <row r="339">
      <c r="F339" s="82"/>
      <c r="Q339" s="66"/>
    </row>
    <row r="340">
      <c r="F340" s="82"/>
      <c r="Q340" s="66"/>
    </row>
    <row r="341">
      <c r="F341" s="82"/>
      <c r="Q341" s="66"/>
    </row>
    <row r="342">
      <c r="F342" s="82"/>
      <c r="Q342" s="66"/>
    </row>
    <row r="343">
      <c r="F343" s="82"/>
      <c r="Q343" s="66"/>
    </row>
    <row r="344">
      <c r="F344" s="82"/>
      <c r="Q344" s="66"/>
    </row>
    <row r="345">
      <c r="F345" s="82"/>
      <c r="Q345" s="66"/>
    </row>
    <row r="346">
      <c r="F346" s="82"/>
      <c r="Q346" s="66"/>
    </row>
    <row r="347">
      <c r="F347" s="82"/>
      <c r="Q347" s="66"/>
    </row>
    <row r="348">
      <c r="F348" s="82"/>
      <c r="Q348" s="66"/>
    </row>
    <row r="349">
      <c r="F349" s="82"/>
      <c r="Q349" s="66"/>
    </row>
    <row r="350">
      <c r="F350" s="82"/>
      <c r="Q350" s="66"/>
    </row>
    <row r="351">
      <c r="F351" s="82"/>
      <c r="Q351" s="66"/>
    </row>
    <row r="352">
      <c r="F352" s="82"/>
      <c r="Q352" s="66"/>
    </row>
    <row r="353">
      <c r="F353" s="82"/>
      <c r="Q353" s="66"/>
    </row>
    <row r="354">
      <c r="F354" s="82"/>
      <c r="Q354" s="66"/>
    </row>
    <row r="355">
      <c r="F355" s="82"/>
      <c r="Q355" s="66"/>
    </row>
    <row r="356">
      <c r="F356" s="82"/>
      <c r="Q356" s="66"/>
    </row>
    <row r="357">
      <c r="F357" s="82"/>
      <c r="Q357" s="66"/>
    </row>
    <row r="358">
      <c r="F358" s="82"/>
      <c r="Q358" s="66"/>
    </row>
    <row r="359">
      <c r="F359" s="82"/>
      <c r="Q359" s="66"/>
    </row>
    <row r="360">
      <c r="F360" s="82"/>
      <c r="Q360" s="66"/>
    </row>
    <row r="361">
      <c r="F361" s="82"/>
      <c r="Q361" s="66"/>
    </row>
    <row r="362">
      <c r="F362" s="82"/>
      <c r="Q362" s="66"/>
    </row>
    <row r="363">
      <c r="F363" s="82"/>
      <c r="Q363" s="66"/>
    </row>
    <row r="364">
      <c r="F364" s="82"/>
      <c r="Q364" s="66"/>
    </row>
    <row r="365">
      <c r="F365" s="82"/>
      <c r="Q365" s="66"/>
    </row>
    <row r="366">
      <c r="F366" s="82"/>
      <c r="Q366" s="66"/>
    </row>
    <row r="367">
      <c r="F367" s="82"/>
      <c r="Q367" s="66"/>
    </row>
    <row r="368">
      <c r="F368" s="82"/>
      <c r="Q368" s="66"/>
    </row>
    <row r="369">
      <c r="F369" s="82"/>
      <c r="Q369" s="66"/>
    </row>
    <row r="370">
      <c r="F370" s="82"/>
      <c r="Q370" s="66"/>
    </row>
    <row r="371">
      <c r="F371" s="82"/>
      <c r="Q371" s="66"/>
    </row>
    <row r="372">
      <c r="F372" s="82"/>
      <c r="Q372" s="66"/>
    </row>
    <row r="373">
      <c r="F373" s="82"/>
      <c r="Q373" s="66"/>
    </row>
    <row r="374">
      <c r="F374" s="82"/>
      <c r="Q374" s="66"/>
    </row>
    <row r="375">
      <c r="F375" s="82"/>
      <c r="Q375" s="66"/>
    </row>
    <row r="376">
      <c r="F376" s="82"/>
      <c r="Q376" s="66"/>
    </row>
    <row r="377">
      <c r="F377" s="82"/>
      <c r="Q377" s="66"/>
    </row>
    <row r="378">
      <c r="F378" s="82"/>
      <c r="Q378" s="66"/>
    </row>
    <row r="379">
      <c r="F379" s="82"/>
      <c r="Q379" s="66"/>
    </row>
    <row r="380">
      <c r="F380" s="82"/>
      <c r="Q380" s="66"/>
    </row>
    <row r="381">
      <c r="F381" s="82"/>
      <c r="Q381" s="66"/>
    </row>
    <row r="382">
      <c r="F382" s="82"/>
      <c r="Q382" s="66"/>
    </row>
    <row r="383">
      <c r="F383" s="82"/>
      <c r="Q383" s="66"/>
    </row>
    <row r="384">
      <c r="F384" s="82"/>
      <c r="Q384" s="66"/>
    </row>
    <row r="385">
      <c r="F385" s="82"/>
      <c r="Q385" s="66"/>
    </row>
    <row r="386">
      <c r="F386" s="82"/>
      <c r="Q386" s="66"/>
    </row>
    <row r="387">
      <c r="F387" s="82"/>
      <c r="Q387" s="66"/>
    </row>
    <row r="388">
      <c r="F388" s="82"/>
      <c r="Q388" s="66"/>
    </row>
    <row r="389">
      <c r="F389" s="82"/>
      <c r="Q389" s="66"/>
    </row>
    <row r="390">
      <c r="F390" s="82"/>
      <c r="Q390" s="66"/>
    </row>
    <row r="391">
      <c r="F391" s="82"/>
      <c r="Q391" s="66"/>
    </row>
    <row r="392">
      <c r="F392" s="82"/>
      <c r="Q392" s="66"/>
    </row>
    <row r="393">
      <c r="F393" s="82"/>
      <c r="Q393" s="66"/>
    </row>
    <row r="394">
      <c r="F394" s="82"/>
      <c r="Q394" s="66"/>
    </row>
    <row r="395">
      <c r="F395" s="82"/>
      <c r="Q395" s="66"/>
    </row>
    <row r="396">
      <c r="F396" s="82"/>
      <c r="Q396" s="66"/>
    </row>
    <row r="397">
      <c r="F397" s="82"/>
      <c r="Q397" s="66"/>
    </row>
    <row r="398">
      <c r="F398" s="82"/>
      <c r="Q398" s="66"/>
    </row>
    <row r="399">
      <c r="F399" s="82"/>
      <c r="Q399" s="66"/>
    </row>
    <row r="400">
      <c r="F400" s="82"/>
      <c r="Q400" s="66"/>
    </row>
    <row r="401">
      <c r="F401" s="82"/>
      <c r="Q401" s="66"/>
    </row>
    <row r="402">
      <c r="F402" s="82"/>
      <c r="Q402" s="66"/>
    </row>
    <row r="403">
      <c r="F403" s="82"/>
      <c r="Q403" s="66"/>
    </row>
    <row r="404">
      <c r="F404" s="82"/>
      <c r="Q404" s="66"/>
    </row>
    <row r="405">
      <c r="F405" s="82"/>
      <c r="Q405" s="66"/>
    </row>
    <row r="406">
      <c r="F406" s="82"/>
      <c r="Q406" s="66"/>
    </row>
    <row r="407">
      <c r="F407" s="82"/>
      <c r="Q407" s="66"/>
    </row>
    <row r="408">
      <c r="F408" s="82"/>
      <c r="Q408" s="66"/>
    </row>
    <row r="409">
      <c r="F409" s="82"/>
      <c r="Q409" s="66"/>
    </row>
    <row r="410">
      <c r="F410" s="82"/>
      <c r="Q410" s="66"/>
    </row>
    <row r="411">
      <c r="F411" s="82"/>
      <c r="Q411" s="66"/>
    </row>
    <row r="412">
      <c r="F412" s="82"/>
      <c r="Q412" s="66"/>
    </row>
    <row r="413">
      <c r="F413" s="82"/>
      <c r="Q413" s="66"/>
    </row>
    <row r="414">
      <c r="F414" s="82"/>
      <c r="Q414" s="66"/>
    </row>
    <row r="415">
      <c r="F415" s="82"/>
      <c r="Q415" s="66"/>
    </row>
    <row r="416">
      <c r="F416" s="82"/>
      <c r="Q416" s="66"/>
    </row>
    <row r="417">
      <c r="F417" s="82"/>
      <c r="Q417" s="66"/>
    </row>
    <row r="418">
      <c r="F418" s="82"/>
      <c r="Q418" s="66"/>
    </row>
    <row r="419">
      <c r="F419" s="82"/>
      <c r="Q419" s="66"/>
    </row>
    <row r="420">
      <c r="F420" s="82"/>
      <c r="Q420" s="66"/>
    </row>
    <row r="421">
      <c r="F421" s="82"/>
      <c r="Q421" s="66"/>
    </row>
    <row r="422">
      <c r="F422" s="82"/>
      <c r="Q422" s="66"/>
    </row>
    <row r="423">
      <c r="F423" s="82"/>
      <c r="Q423" s="66"/>
    </row>
    <row r="424">
      <c r="F424" s="82"/>
      <c r="Q424" s="66"/>
    </row>
    <row r="425">
      <c r="F425" s="82"/>
      <c r="Q425" s="66"/>
    </row>
    <row r="426">
      <c r="F426" s="82"/>
      <c r="Q426" s="66"/>
    </row>
    <row r="427">
      <c r="F427" s="82"/>
      <c r="Q427" s="66"/>
    </row>
    <row r="428">
      <c r="F428" s="82"/>
      <c r="Q428" s="66"/>
    </row>
    <row r="429">
      <c r="F429" s="82"/>
      <c r="Q429" s="66"/>
    </row>
    <row r="430">
      <c r="F430" s="82"/>
      <c r="Q430" s="66"/>
    </row>
    <row r="431">
      <c r="F431" s="82"/>
      <c r="Q431" s="66"/>
    </row>
    <row r="432">
      <c r="F432" s="82"/>
      <c r="Q432" s="66"/>
    </row>
    <row r="433">
      <c r="F433" s="82"/>
      <c r="Q433" s="66"/>
    </row>
    <row r="434">
      <c r="F434" s="82"/>
      <c r="Q434" s="66"/>
    </row>
    <row r="435">
      <c r="F435" s="82"/>
      <c r="Q435" s="66"/>
    </row>
    <row r="436">
      <c r="F436" s="82"/>
      <c r="Q436" s="66"/>
    </row>
    <row r="437">
      <c r="F437" s="82"/>
      <c r="Q437" s="66"/>
    </row>
    <row r="438">
      <c r="F438" s="82"/>
      <c r="Q438" s="66"/>
    </row>
    <row r="439">
      <c r="F439" s="82"/>
      <c r="Q439" s="66"/>
    </row>
    <row r="440">
      <c r="F440" s="82"/>
      <c r="Q440" s="66"/>
    </row>
    <row r="441">
      <c r="F441" s="82"/>
      <c r="Q441" s="66"/>
    </row>
    <row r="442">
      <c r="F442" s="82"/>
      <c r="Q442" s="66"/>
    </row>
    <row r="443">
      <c r="F443" s="82"/>
      <c r="Q443" s="66"/>
    </row>
    <row r="444">
      <c r="F444" s="82"/>
      <c r="Q444" s="66"/>
    </row>
    <row r="445">
      <c r="F445" s="82"/>
      <c r="Q445" s="66"/>
    </row>
    <row r="446">
      <c r="F446" s="82"/>
      <c r="Q446" s="66"/>
    </row>
    <row r="447">
      <c r="F447" s="82"/>
      <c r="Q447" s="66"/>
    </row>
    <row r="448">
      <c r="F448" s="82"/>
      <c r="Q448" s="66"/>
    </row>
    <row r="449">
      <c r="F449" s="82"/>
      <c r="Q449" s="66"/>
    </row>
    <row r="450">
      <c r="F450" s="82"/>
      <c r="Q450" s="66"/>
    </row>
    <row r="451">
      <c r="F451" s="82"/>
      <c r="Q451" s="66"/>
    </row>
    <row r="452">
      <c r="F452" s="82"/>
      <c r="Q452" s="66"/>
    </row>
    <row r="453">
      <c r="F453" s="82"/>
      <c r="Q453" s="66"/>
    </row>
    <row r="454">
      <c r="F454" s="82"/>
      <c r="Q454" s="66"/>
    </row>
    <row r="455">
      <c r="F455" s="82"/>
      <c r="Q455" s="66"/>
    </row>
    <row r="456">
      <c r="F456" s="82"/>
      <c r="Q456" s="66"/>
    </row>
    <row r="457">
      <c r="F457" s="82"/>
      <c r="Q457" s="66"/>
    </row>
    <row r="458">
      <c r="F458" s="82"/>
      <c r="Q458" s="66"/>
    </row>
    <row r="459">
      <c r="F459" s="82"/>
      <c r="Q459" s="66"/>
    </row>
    <row r="460">
      <c r="F460" s="82"/>
      <c r="Q460" s="66"/>
    </row>
    <row r="461">
      <c r="F461" s="82"/>
      <c r="Q461" s="66"/>
    </row>
    <row r="462">
      <c r="F462" s="82"/>
      <c r="Q462" s="66"/>
    </row>
    <row r="463">
      <c r="F463" s="82"/>
      <c r="Q463" s="66"/>
    </row>
    <row r="464">
      <c r="F464" s="82"/>
      <c r="Q464" s="66"/>
    </row>
    <row r="465">
      <c r="F465" s="82"/>
      <c r="Q465" s="66"/>
    </row>
    <row r="466">
      <c r="F466" s="82"/>
      <c r="Q466" s="66"/>
    </row>
    <row r="467">
      <c r="F467" s="82"/>
      <c r="Q467" s="66"/>
    </row>
    <row r="468">
      <c r="F468" s="82"/>
      <c r="Q468" s="66"/>
    </row>
    <row r="469">
      <c r="F469" s="82"/>
      <c r="Q469" s="66"/>
    </row>
    <row r="470">
      <c r="F470" s="82"/>
      <c r="Q470" s="66"/>
    </row>
    <row r="471">
      <c r="F471" s="82"/>
      <c r="Q471" s="66"/>
    </row>
    <row r="472">
      <c r="F472" s="82"/>
      <c r="Q472" s="66"/>
    </row>
    <row r="473">
      <c r="F473" s="82"/>
      <c r="Q473" s="66"/>
    </row>
    <row r="474">
      <c r="F474" s="82"/>
      <c r="Q474" s="66"/>
    </row>
    <row r="475">
      <c r="F475" s="82"/>
      <c r="Q475" s="66"/>
    </row>
    <row r="476">
      <c r="F476" s="82"/>
      <c r="Q476" s="66"/>
    </row>
    <row r="477">
      <c r="F477" s="82"/>
      <c r="Q477" s="66"/>
    </row>
    <row r="478">
      <c r="F478" s="82"/>
      <c r="Q478" s="66"/>
    </row>
    <row r="479">
      <c r="F479" s="82"/>
      <c r="Q479" s="66"/>
    </row>
    <row r="480">
      <c r="F480" s="82"/>
      <c r="Q480" s="66"/>
    </row>
    <row r="481">
      <c r="F481" s="82"/>
      <c r="Q481" s="66"/>
    </row>
    <row r="482">
      <c r="F482" s="82"/>
      <c r="Q482" s="66"/>
    </row>
    <row r="483">
      <c r="F483" s="82"/>
      <c r="Q483" s="66"/>
    </row>
    <row r="484">
      <c r="F484" s="82"/>
      <c r="Q484" s="66"/>
    </row>
    <row r="485">
      <c r="F485" s="82"/>
      <c r="Q485" s="66"/>
    </row>
    <row r="486">
      <c r="F486" s="82"/>
      <c r="Q486" s="66"/>
    </row>
    <row r="487">
      <c r="F487" s="82"/>
      <c r="Q487" s="66"/>
    </row>
    <row r="488">
      <c r="F488" s="82"/>
      <c r="Q488" s="66"/>
    </row>
    <row r="489">
      <c r="F489" s="82"/>
      <c r="Q489" s="66"/>
    </row>
    <row r="490">
      <c r="F490" s="82"/>
      <c r="Q490" s="66"/>
    </row>
    <row r="491">
      <c r="F491" s="82"/>
      <c r="Q491" s="66"/>
    </row>
    <row r="492">
      <c r="F492" s="82"/>
      <c r="Q492" s="66"/>
    </row>
    <row r="493">
      <c r="F493" s="82"/>
      <c r="Q493" s="66"/>
    </row>
    <row r="494">
      <c r="F494" s="82"/>
      <c r="Q494" s="66"/>
    </row>
    <row r="495">
      <c r="F495" s="82"/>
      <c r="Q495" s="66"/>
    </row>
    <row r="496">
      <c r="F496" s="82"/>
      <c r="Q496" s="66"/>
    </row>
    <row r="497">
      <c r="F497" s="82"/>
      <c r="Q497" s="66"/>
    </row>
    <row r="498">
      <c r="F498" s="82"/>
      <c r="Q498" s="66"/>
    </row>
    <row r="499">
      <c r="F499" s="82"/>
      <c r="Q499" s="66"/>
    </row>
    <row r="500">
      <c r="F500" s="82"/>
      <c r="Q500" s="66"/>
    </row>
    <row r="501">
      <c r="F501" s="82"/>
      <c r="Q501" s="66"/>
    </row>
    <row r="502">
      <c r="F502" s="82"/>
      <c r="Q502" s="66"/>
    </row>
    <row r="503">
      <c r="F503" s="82"/>
      <c r="Q503" s="66"/>
    </row>
    <row r="504">
      <c r="F504" s="82"/>
      <c r="Q504" s="66"/>
    </row>
    <row r="505">
      <c r="F505" s="82"/>
      <c r="Q505" s="66"/>
    </row>
    <row r="506">
      <c r="F506" s="82"/>
      <c r="Q506" s="66"/>
    </row>
    <row r="507">
      <c r="F507" s="82"/>
      <c r="Q507" s="66"/>
    </row>
    <row r="508">
      <c r="F508" s="82"/>
      <c r="Q508" s="66"/>
    </row>
    <row r="509">
      <c r="F509" s="82"/>
      <c r="Q509" s="66"/>
    </row>
    <row r="510">
      <c r="F510" s="82"/>
      <c r="Q510" s="66"/>
    </row>
    <row r="511">
      <c r="F511" s="82"/>
      <c r="Q511" s="66"/>
    </row>
    <row r="512">
      <c r="F512" s="82"/>
      <c r="Q512" s="66"/>
    </row>
    <row r="513">
      <c r="F513" s="82"/>
      <c r="Q513" s="66"/>
    </row>
    <row r="514">
      <c r="F514" s="82"/>
      <c r="Q514" s="66"/>
    </row>
    <row r="515">
      <c r="F515" s="82"/>
      <c r="Q515" s="66"/>
    </row>
    <row r="516">
      <c r="F516" s="82"/>
      <c r="Q516" s="66"/>
    </row>
    <row r="517">
      <c r="F517" s="82"/>
      <c r="Q517" s="66"/>
    </row>
    <row r="518">
      <c r="F518" s="82"/>
      <c r="Q518" s="66"/>
    </row>
    <row r="519">
      <c r="F519" s="82"/>
      <c r="Q519" s="66"/>
    </row>
    <row r="520">
      <c r="F520" s="82"/>
      <c r="Q520" s="66"/>
    </row>
    <row r="521">
      <c r="F521" s="82"/>
      <c r="Q521" s="66"/>
    </row>
    <row r="522">
      <c r="F522" s="82"/>
      <c r="Q522" s="66"/>
    </row>
    <row r="523">
      <c r="F523" s="82"/>
      <c r="Q523" s="66"/>
    </row>
    <row r="524">
      <c r="F524" s="82"/>
      <c r="Q524" s="66"/>
    </row>
    <row r="525">
      <c r="F525" s="82"/>
      <c r="Q525" s="66"/>
    </row>
    <row r="526">
      <c r="F526" s="82"/>
      <c r="Q526" s="66"/>
    </row>
    <row r="527">
      <c r="F527" s="82"/>
      <c r="Q527" s="66"/>
    </row>
    <row r="528">
      <c r="F528" s="82"/>
      <c r="Q528" s="66"/>
    </row>
    <row r="529">
      <c r="F529" s="82"/>
      <c r="Q529" s="66"/>
    </row>
    <row r="530">
      <c r="F530" s="82"/>
      <c r="Q530" s="66"/>
    </row>
    <row r="531">
      <c r="F531" s="82"/>
      <c r="Q531" s="66"/>
    </row>
    <row r="532">
      <c r="F532" s="82"/>
      <c r="Q532" s="66"/>
    </row>
    <row r="533">
      <c r="F533" s="82"/>
      <c r="Q533" s="66"/>
    </row>
    <row r="534">
      <c r="F534" s="82"/>
      <c r="Q534" s="66"/>
    </row>
    <row r="535">
      <c r="F535" s="82"/>
      <c r="Q535" s="66"/>
    </row>
    <row r="536">
      <c r="F536" s="82"/>
      <c r="Q536" s="66"/>
    </row>
    <row r="537">
      <c r="F537" s="82"/>
      <c r="Q537" s="66"/>
    </row>
    <row r="538">
      <c r="F538" s="82"/>
      <c r="Q538" s="66"/>
    </row>
    <row r="539">
      <c r="F539" s="82"/>
      <c r="Q539" s="66"/>
    </row>
    <row r="540">
      <c r="F540" s="82"/>
      <c r="Q540" s="66"/>
    </row>
    <row r="541">
      <c r="F541" s="82"/>
      <c r="Q541" s="66"/>
    </row>
    <row r="542">
      <c r="F542" s="82"/>
      <c r="Q542" s="66"/>
    </row>
    <row r="543">
      <c r="F543" s="82"/>
      <c r="Q543" s="66"/>
    </row>
    <row r="544">
      <c r="F544" s="82"/>
      <c r="Q544" s="66"/>
    </row>
    <row r="545">
      <c r="F545" s="82"/>
      <c r="Q545" s="66"/>
    </row>
    <row r="546">
      <c r="F546" s="82"/>
      <c r="Q546" s="66"/>
    </row>
    <row r="547">
      <c r="F547" s="82"/>
      <c r="Q547" s="66"/>
    </row>
    <row r="548">
      <c r="F548" s="82"/>
      <c r="Q548" s="66"/>
    </row>
    <row r="549">
      <c r="F549" s="82"/>
      <c r="Q549" s="66"/>
    </row>
    <row r="550">
      <c r="F550" s="82"/>
      <c r="Q550" s="66"/>
    </row>
    <row r="551">
      <c r="F551" s="82"/>
      <c r="Q551" s="66"/>
    </row>
    <row r="552">
      <c r="F552" s="82"/>
      <c r="Q552" s="66"/>
    </row>
    <row r="553">
      <c r="F553" s="82"/>
      <c r="Q553" s="66"/>
    </row>
    <row r="554">
      <c r="F554" s="82"/>
      <c r="Q554" s="66"/>
    </row>
    <row r="555">
      <c r="F555" s="82"/>
      <c r="Q555" s="66"/>
    </row>
    <row r="556">
      <c r="F556" s="82"/>
      <c r="Q556" s="66"/>
    </row>
    <row r="557">
      <c r="F557" s="82"/>
      <c r="Q557" s="66"/>
    </row>
    <row r="558">
      <c r="F558" s="82"/>
      <c r="Q558" s="66"/>
    </row>
    <row r="559">
      <c r="F559" s="82"/>
      <c r="Q559" s="66"/>
    </row>
    <row r="560">
      <c r="F560" s="82"/>
      <c r="Q560" s="66"/>
    </row>
    <row r="561">
      <c r="F561" s="82"/>
      <c r="Q561" s="66"/>
    </row>
    <row r="562">
      <c r="F562" s="82"/>
      <c r="Q562" s="66"/>
    </row>
    <row r="563">
      <c r="F563" s="82"/>
      <c r="Q563" s="66"/>
    </row>
    <row r="564">
      <c r="F564" s="82"/>
      <c r="Q564" s="66"/>
    </row>
    <row r="565">
      <c r="F565" s="82"/>
      <c r="Q565" s="66"/>
    </row>
    <row r="566">
      <c r="F566" s="82"/>
      <c r="Q566" s="66"/>
    </row>
    <row r="567">
      <c r="F567" s="82"/>
      <c r="Q567" s="66"/>
    </row>
    <row r="568">
      <c r="F568" s="82"/>
      <c r="Q568" s="66"/>
    </row>
    <row r="569">
      <c r="F569" s="82"/>
      <c r="Q569" s="66"/>
    </row>
    <row r="570">
      <c r="F570" s="82"/>
      <c r="Q570" s="66"/>
    </row>
    <row r="571">
      <c r="F571" s="82"/>
      <c r="Q571" s="66"/>
    </row>
    <row r="572">
      <c r="F572" s="82"/>
      <c r="Q572" s="66"/>
    </row>
    <row r="573">
      <c r="F573" s="82"/>
      <c r="Q573" s="66"/>
    </row>
    <row r="574">
      <c r="F574" s="82"/>
      <c r="Q574" s="66"/>
    </row>
    <row r="575">
      <c r="F575" s="82"/>
      <c r="Q575" s="66"/>
    </row>
    <row r="576">
      <c r="F576" s="82"/>
      <c r="Q576" s="66"/>
    </row>
    <row r="577">
      <c r="F577" s="82"/>
      <c r="Q577" s="66"/>
    </row>
    <row r="578">
      <c r="F578" s="82"/>
      <c r="Q578" s="66"/>
    </row>
    <row r="579">
      <c r="F579" s="82"/>
      <c r="Q579" s="66"/>
    </row>
    <row r="580">
      <c r="F580" s="82"/>
      <c r="Q580" s="66"/>
    </row>
    <row r="581">
      <c r="F581" s="82"/>
      <c r="Q581" s="66"/>
    </row>
    <row r="582">
      <c r="F582" s="82"/>
      <c r="Q582" s="66"/>
    </row>
    <row r="583">
      <c r="F583" s="82"/>
      <c r="Q583" s="66"/>
    </row>
    <row r="584">
      <c r="F584" s="82"/>
      <c r="Q584" s="66"/>
    </row>
    <row r="585">
      <c r="F585" s="82"/>
      <c r="Q585" s="66"/>
    </row>
    <row r="586">
      <c r="F586" s="82"/>
      <c r="Q586" s="66"/>
    </row>
    <row r="587">
      <c r="F587" s="82"/>
      <c r="Q587" s="66"/>
    </row>
    <row r="588">
      <c r="F588" s="82"/>
      <c r="Q588" s="66"/>
    </row>
    <row r="589">
      <c r="F589" s="82"/>
      <c r="Q589" s="66"/>
    </row>
    <row r="590">
      <c r="F590" s="82"/>
      <c r="Q590" s="66"/>
    </row>
    <row r="591">
      <c r="F591" s="82"/>
      <c r="Q591" s="66"/>
    </row>
    <row r="592">
      <c r="F592" s="82"/>
      <c r="Q592" s="66"/>
    </row>
    <row r="593">
      <c r="F593" s="82"/>
      <c r="Q593" s="66"/>
    </row>
    <row r="594">
      <c r="F594" s="82"/>
      <c r="Q594" s="66"/>
    </row>
    <row r="595">
      <c r="F595" s="82"/>
      <c r="Q595" s="66"/>
    </row>
    <row r="596">
      <c r="F596" s="82"/>
      <c r="Q596" s="66"/>
    </row>
    <row r="597">
      <c r="F597" s="82"/>
      <c r="Q597" s="66"/>
    </row>
    <row r="598">
      <c r="F598" s="82"/>
      <c r="Q598" s="66"/>
    </row>
    <row r="599">
      <c r="F599" s="82"/>
      <c r="Q599" s="66"/>
    </row>
    <row r="600">
      <c r="F600" s="82"/>
      <c r="Q600" s="66"/>
    </row>
    <row r="601">
      <c r="F601" s="82"/>
      <c r="Q601" s="66"/>
    </row>
    <row r="602">
      <c r="F602" s="82"/>
      <c r="Q602" s="66"/>
    </row>
    <row r="603">
      <c r="F603" s="82"/>
      <c r="Q603" s="66"/>
    </row>
    <row r="604">
      <c r="F604" s="82"/>
      <c r="Q604" s="66"/>
    </row>
    <row r="605">
      <c r="F605" s="82"/>
      <c r="Q605" s="66"/>
    </row>
    <row r="606">
      <c r="F606" s="82"/>
      <c r="Q606" s="66"/>
    </row>
    <row r="607">
      <c r="F607" s="82"/>
      <c r="Q607" s="66"/>
    </row>
    <row r="608">
      <c r="F608" s="82"/>
      <c r="Q608" s="66"/>
    </row>
    <row r="609">
      <c r="F609" s="82"/>
      <c r="Q609" s="66"/>
    </row>
    <row r="610">
      <c r="F610" s="82"/>
      <c r="Q610" s="66"/>
    </row>
    <row r="611">
      <c r="F611" s="82"/>
      <c r="Q611" s="66"/>
    </row>
    <row r="612">
      <c r="F612" s="82"/>
      <c r="Q612" s="66"/>
    </row>
    <row r="613">
      <c r="F613" s="82"/>
      <c r="Q613" s="66"/>
    </row>
    <row r="614">
      <c r="F614" s="82"/>
      <c r="Q614" s="66"/>
    </row>
    <row r="615">
      <c r="F615" s="82"/>
      <c r="Q615" s="66"/>
    </row>
    <row r="616">
      <c r="F616" s="82"/>
      <c r="Q616" s="66"/>
    </row>
    <row r="617">
      <c r="F617" s="82"/>
      <c r="Q617" s="66"/>
    </row>
    <row r="618">
      <c r="F618" s="82"/>
      <c r="Q618" s="66"/>
    </row>
    <row r="619">
      <c r="F619" s="82"/>
      <c r="Q619" s="66"/>
    </row>
    <row r="620">
      <c r="F620" s="82"/>
      <c r="Q620" s="66"/>
    </row>
    <row r="621">
      <c r="F621" s="82"/>
      <c r="Q621" s="66"/>
    </row>
    <row r="622">
      <c r="F622" s="82"/>
      <c r="Q622" s="66"/>
    </row>
    <row r="623">
      <c r="F623" s="82"/>
      <c r="Q623" s="66"/>
    </row>
    <row r="624">
      <c r="F624" s="82"/>
      <c r="Q624" s="66"/>
    </row>
    <row r="625">
      <c r="F625" s="82"/>
      <c r="Q625" s="66"/>
    </row>
    <row r="626">
      <c r="F626" s="82"/>
      <c r="Q626" s="66"/>
    </row>
    <row r="627">
      <c r="F627" s="82"/>
      <c r="Q627" s="66"/>
    </row>
    <row r="628">
      <c r="F628" s="82"/>
      <c r="Q628" s="66"/>
    </row>
    <row r="629">
      <c r="F629" s="82"/>
      <c r="Q629" s="66"/>
    </row>
    <row r="630">
      <c r="F630" s="82"/>
      <c r="Q630" s="66"/>
    </row>
    <row r="631">
      <c r="F631" s="82"/>
      <c r="Q631" s="66"/>
    </row>
    <row r="632">
      <c r="F632" s="82"/>
      <c r="Q632" s="66"/>
    </row>
    <row r="633">
      <c r="F633" s="82"/>
      <c r="Q633" s="66"/>
    </row>
    <row r="634">
      <c r="F634" s="82"/>
      <c r="Q634" s="66"/>
    </row>
    <row r="635">
      <c r="F635" s="82"/>
      <c r="Q635" s="66"/>
    </row>
    <row r="636">
      <c r="F636" s="82"/>
      <c r="Q636" s="66"/>
    </row>
    <row r="637">
      <c r="F637" s="82"/>
      <c r="Q637" s="66"/>
    </row>
    <row r="638">
      <c r="F638" s="82"/>
      <c r="Q638" s="66"/>
    </row>
    <row r="639">
      <c r="F639" s="82"/>
      <c r="Q639" s="66"/>
    </row>
    <row r="640">
      <c r="F640" s="82"/>
      <c r="Q640" s="66"/>
    </row>
    <row r="641">
      <c r="F641" s="82"/>
      <c r="Q641" s="66"/>
    </row>
    <row r="642">
      <c r="F642" s="82"/>
      <c r="Q642" s="66"/>
    </row>
    <row r="643">
      <c r="F643" s="82"/>
      <c r="Q643" s="66"/>
    </row>
    <row r="644">
      <c r="F644" s="82"/>
      <c r="Q644" s="66"/>
    </row>
    <row r="645">
      <c r="F645" s="82"/>
      <c r="Q645" s="66"/>
    </row>
    <row r="646">
      <c r="F646" s="82"/>
      <c r="Q646" s="66"/>
    </row>
    <row r="647">
      <c r="F647" s="82"/>
      <c r="Q647" s="66"/>
    </row>
    <row r="648">
      <c r="F648" s="82"/>
      <c r="Q648" s="66"/>
    </row>
    <row r="649">
      <c r="F649" s="82"/>
      <c r="Q649" s="66"/>
    </row>
    <row r="650">
      <c r="F650" s="82"/>
      <c r="Q650" s="66"/>
    </row>
    <row r="651">
      <c r="F651" s="82"/>
      <c r="Q651" s="66"/>
    </row>
    <row r="652">
      <c r="F652" s="82"/>
      <c r="Q652" s="66"/>
    </row>
    <row r="653">
      <c r="F653" s="82"/>
      <c r="Q653" s="66"/>
    </row>
    <row r="654">
      <c r="F654" s="82"/>
      <c r="Q654" s="66"/>
    </row>
    <row r="655">
      <c r="F655" s="82"/>
      <c r="Q655" s="66"/>
    </row>
    <row r="656">
      <c r="F656" s="82"/>
      <c r="Q656" s="66"/>
    </row>
    <row r="657">
      <c r="F657" s="82"/>
      <c r="Q657" s="66"/>
    </row>
    <row r="658">
      <c r="F658" s="82"/>
      <c r="Q658" s="66"/>
    </row>
    <row r="659">
      <c r="F659" s="82"/>
      <c r="Q659" s="66"/>
    </row>
    <row r="660">
      <c r="F660" s="82"/>
      <c r="Q660" s="66"/>
    </row>
    <row r="661">
      <c r="F661" s="82"/>
      <c r="Q661" s="66"/>
    </row>
    <row r="662">
      <c r="F662" s="82"/>
      <c r="Q662" s="66"/>
    </row>
    <row r="663">
      <c r="F663" s="82"/>
      <c r="Q663" s="66"/>
    </row>
    <row r="664">
      <c r="F664" s="82"/>
      <c r="Q664" s="66"/>
    </row>
    <row r="665">
      <c r="F665" s="82"/>
      <c r="Q665" s="66"/>
    </row>
    <row r="666">
      <c r="F666" s="82"/>
      <c r="Q666" s="66"/>
    </row>
    <row r="667">
      <c r="F667" s="82"/>
      <c r="Q667" s="66"/>
    </row>
    <row r="668">
      <c r="F668" s="82"/>
      <c r="Q668" s="66"/>
    </row>
    <row r="669">
      <c r="F669" s="82"/>
      <c r="Q669" s="66"/>
    </row>
    <row r="670">
      <c r="F670" s="82"/>
      <c r="Q670" s="66"/>
    </row>
    <row r="671">
      <c r="F671" s="82"/>
      <c r="Q671" s="66"/>
    </row>
    <row r="672">
      <c r="F672" s="82"/>
      <c r="Q672" s="66"/>
    </row>
    <row r="673">
      <c r="F673" s="82"/>
      <c r="Q673" s="66"/>
    </row>
    <row r="674">
      <c r="F674" s="82"/>
      <c r="Q674" s="66"/>
    </row>
    <row r="675">
      <c r="F675" s="82"/>
      <c r="Q675" s="66"/>
    </row>
    <row r="676">
      <c r="F676" s="82"/>
      <c r="Q676" s="66"/>
    </row>
    <row r="677">
      <c r="F677" s="82"/>
      <c r="Q677" s="66"/>
    </row>
    <row r="678">
      <c r="F678" s="82"/>
      <c r="Q678" s="66"/>
    </row>
    <row r="679">
      <c r="F679" s="82"/>
      <c r="Q679" s="66"/>
    </row>
    <row r="680">
      <c r="F680" s="82"/>
      <c r="Q680" s="66"/>
    </row>
    <row r="681">
      <c r="F681" s="82"/>
      <c r="Q681" s="66"/>
    </row>
    <row r="682">
      <c r="F682" s="82"/>
      <c r="Q682" s="66"/>
    </row>
    <row r="683">
      <c r="F683" s="82"/>
      <c r="Q683" s="66"/>
    </row>
    <row r="684">
      <c r="F684" s="82"/>
      <c r="Q684" s="66"/>
    </row>
    <row r="685">
      <c r="F685" s="82"/>
      <c r="Q685" s="66"/>
    </row>
    <row r="686">
      <c r="F686" s="82"/>
      <c r="Q686" s="66"/>
    </row>
    <row r="687">
      <c r="F687" s="82"/>
      <c r="Q687" s="66"/>
    </row>
    <row r="688">
      <c r="F688" s="82"/>
      <c r="Q688" s="66"/>
    </row>
    <row r="689">
      <c r="F689" s="82"/>
      <c r="Q689" s="66"/>
    </row>
    <row r="690">
      <c r="F690" s="82"/>
      <c r="Q690" s="66"/>
    </row>
    <row r="691">
      <c r="F691" s="82"/>
      <c r="Q691" s="66"/>
    </row>
    <row r="692">
      <c r="F692" s="82"/>
      <c r="Q692" s="66"/>
    </row>
    <row r="693">
      <c r="F693" s="82"/>
      <c r="Q693" s="66"/>
    </row>
    <row r="694">
      <c r="F694" s="82"/>
      <c r="Q694" s="66"/>
    </row>
    <row r="695">
      <c r="F695" s="82"/>
      <c r="Q695" s="66"/>
    </row>
    <row r="696">
      <c r="F696" s="82"/>
      <c r="Q696" s="66"/>
    </row>
    <row r="697">
      <c r="F697" s="82"/>
      <c r="Q697" s="66"/>
    </row>
    <row r="698">
      <c r="F698" s="82"/>
      <c r="Q698" s="66"/>
    </row>
    <row r="699">
      <c r="F699" s="82"/>
      <c r="Q699" s="66"/>
    </row>
    <row r="700">
      <c r="F700" s="82"/>
      <c r="Q700" s="66"/>
    </row>
    <row r="701">
      <c r="F701" s="82"/>
      <c r="Q701" s="66"/>
    </row>
    <row r="702">
      <c r="F702" s="82"/>
      <c r="Q702" s="66"/>
    </row>
    <row r="703">
      <c r="F703" s="82"/>
      <c r="Q703" s="66"/>
    </row>
    <row r="704">
      <c r="F704" s="82"/>
      <c r="Q704" s="66"/>
    </row>
    <row r="705">
      <c r="F705" s="82"/>
      <c r="Q705" s="66"/>
    </row>
    <row r="706">
      <c r="F706" s="82"/>
      <c r="Q706" s="66"/>
    </row>
    <row r="707">
      <c r="F707" s="82"/>
      <c r="Q707" s="66"/>
    </row>
    <row r="708">
      <c r="F708" s="82"/>
      <c r="Q708" s="66"/>
    </row>
    <row r="709">
      <c r="F709" s="82"/>
      <c r="Q709" s="66"/>
    </row>
    <row r="710">
      <c r="F710" s="82"/>
      <c r="Q710" s="66"/>
    </row>
    <row r="711">
      <c r="F711" s="82"/>
      <c r="Q711" s="66"/>
    </row>
    <row r="712">
      <c r="F712" s="82"/>
      <c r="Q712" s="66"/>
    </row>
    <row r="713">
      <c r="F713" s="82"/>
      <c r="Q713" s="66"/>
    </row>
    <row r="714">
      <c r="F714" s="82"/>
      <c r="Q714" s="66"/>
    </row>
    <row r="715">
      <c r="F715" s="82"/>
      <c r="Q715" s="66"/>
    </row>
    <row r="716">
      <c r="F716" s="82"/>
      <c r="Q716" s="66"/>
    </row>
    <row r="717">
      <c r="F717" s="82"/>
      <c r="Q717" s="66"/>
    </row>
    <row r="718">
      <c r="F718" s="82"/>
      <c r="Q718" s="66"/>
    </row>
    <row r="719">
      <c r="F719" s="82"/>
      <c r="Q719" s="66"/>
    </row>
    <row r="720">
      <c r="F720" s="82"/>
      <c r="Q720" s="66"/>
    </row>
    <row r="721">
      <c r="F721" s="82"/>
      <c r="Q721" s="66"/>
    </row>
    <row r="722">
      <c r="F722" s="82"/>
      <c r="Q722" s="66"/>
    </row>
    <row r="723">
      <c r="F723" s="82"/>
      <c r="Q723" s="66"/>
    </row>
    <row r="724">
      <c r="F724" s="82"/>
      <c r="Q724" s="66"/>
    </row>
    <row r="725">
      <c r="F725" s="82"/>
      <c r="Q725" s="66"/>
    </row>
    <row r="726">
      <c r="F726" s="82"/>
      <c r="Q726" s="66"/>
    </row>
    <row r="727">
      <c r="F727" s="82"/>
      <c r="Q727" s="66"/>
    </row>
    <row r="728">
      <c r="F728" s="82"/>
      <c r="Q728" s="66"/>
    </row>
    <row r="729">
      <c r="F729" s="82"/>
      <c r="Q729" s="66"/>
    </row>
    <row r="730">
      <c r="F730" s="82"/>
      <c r="Q730" s="66"/>
    </row>
    <row r="731">
      <c r="F731" s="82"/>
      <c r="Q731" s="66"/>
    </row>
    <row r="732">
      <c r="F732" s="82"/>
      <c r="Q732" s="66"/>
    </row>
    <row r="733">
      <c r="F733" s="82"/>
      <c r="Q733" s="66"/>
    </row>
    <row r="734">
      <c r="F734" s="82"/>
      <c r="Q734" s="66"/>
    </row>
    <row r="735">
      <c r="F735" s="82"/>
      <c r="Q735" s="66"/>
    </row>
    <row r="736">
      <c r="F736" s="82"/>
      <c r="Q736" s="66"/>
    </row>
    <row r="737">
      <c r="F737" s="82"/>
      <c r="Q737" s="66"/>
    </row>
    <row r="738">
      <c r="F738" s="82"/>
      <c r="Q738" s="66"/>
    </row>
    <row r="739">
      <c r="F739" s="82"/>
      <c r="Q739" s="66"/>
    </row>
    <row r="740">
      <c r="F740" s="82"/>
      <c r="Q740" s="66"/>
    </row>
    <row r="741">
      <c r="F741" s="82"/>
      <c r="Q741" s="66"/>
    </row>
    <row r="742">
      <c r="F742" s="82"/>
      <c r="Q742" s="66"/>
    </row>
    <row r="743">
      <c r="F743" s="82"/>
      <c r="Q743" s="66"/>
    </row>
    <row r="744">
      <c r="F744" s="82"/>
      <c r="Q744" s="66"/>
    </row>
    <row r="745">
      <c r="F745" s="82"/>
      <c r="Q745" s="66"/>
    </row>
    <row r="746">
      <c r="F746" s="82"/>
      <c r="Q746" s="66"/>
    </row>
    <row r="747">
      <c r="F747" s="82"/>
      <c r="Q747" s="66"/>
    </row>
    <row r="748">
      <c r="F748" s="82"/>
      <c r="Q748" s="66"/>
    </row>
    <row r="749">
      <c r="F749" s="82"/>
      <c r="Q749" s="66"/>
    </row>
    <row r="750">
      <c r="F750" s="82"/>
      <c r="Q750" s="66"/>
    </row>
    <row r="751">
      <c r="F751" s="82"/>
      <c r="Q751" s="66"/>
    </row>
    <row r="752">
      <c r="F752" s="82"/>
      <c r="Q752" s="66"/>
    </row>
    <row r="753">
      <c r="F753" s="82"/>
      <c r="Q753" s="66"/>
    </row>
    <row r="754">
      <c r="F754" s="82"/>
      <c r="Q754" s="66"/>
    </row>
    <row r="755">
      <c r="F755" s="82"/>
      <c r="Q755" s="66"/>
    </row>
    <row r="756">
      <c r="F756" s="82"/>
      <c r="Q756" s="66"/>
    </row>
    <row r="757">
      <c r="F757" s="82"/>
      <c r="Q757" s="66"/>
    </row>
    <row r="758">
      <c r="F758" s="82"/>
      <c r="Q758" s="66"/>
    </row>
    <row r="759">
      <c r="F759" s="82"/>
      <c r="Q759" s="66"/>
    </row>
    <row r="760">
      <c r="F760" s="82"/>
      <c r="Q760" s="66"/>
    </row>
    <row r="761">
      <c r="F761" s="82"/>
      <c r="Q761" s="66"/>
    </row>
    <row r="762">
      <c r="F762" s="82"/>
      <c r="Q762" s="66"/>
    </row>
    <row r="763">
      <c r="F763" s="82"/>
      <c r="Q763" s="66"/>
    </row>
    <row r="764">
      <c r="F764" s="82"/>
      <c r="Q764" s="66"/>
    </row>
    <row r="765">
      <c r="F765" s="82"/>
      <c r="Q765" s="66"/>
    </row>
    <row r="766">
      <c r="F766" s="82"/>
      <c r="Q766" s="66"/>
    </row>
    <row r="767">
      <c r="F767" s="82"/>
      <c r="Q767" s="66"/>
    </row>
    <row r="768">
      <c r="F768" s="82"/>
      <c r="Q768" s="66"/>
    </row>
    <row r="769">
      <c r="F769" s="82"/>
      <c r="Q769" s="66"/>
    </row>
    <row r="770">
      <c r="F770" s="82"/>
      <c r="Q770" s="66"/>
    </row>
    <row r="771">
      <c r="F771" s="82"/>
      <c r="Q771" s="66"/>
    </row>
    <row r="772">
      <c r="F772" s="82"/>
      <c r="Q772" s="66"/>
    </row>
    <row r="773">
      <c r="F773" s="82"/>
      <c r="Q773" s="66"/>
    </row>
    <row r="774">
      <c r="F774" s="82"/>
      <c r="Q774" s="66"/>
    </row>
    <row r="775">
      <c r="F775" s="82"/>
      <c r="Q775" s="66"/>
    </row>
    <row r="776">
      <c r="F776" s="82"/>
      <c r="Q776" s="66"/>
    </row>
    <row r="777">
      <c r="F777" s="82"/>
      <c r="Q777" s="66"/>
    </row>
    <row r="778">
      <c r="F778" s="82"/>
      <c r="Q778" s="66"/>
    </row>
    <row r="779">
      <c r="F779" s="82"/>
      <c r="Q779" s="66"/>
    </row>
    <row r="780">
      <c r="F780" s="82"/>
      <c r="Q780" s="66"/>
    </row>
    <row r="781">
      <c r="F781" s="82"/>
      <c r="Q781" s="66"/>
    </row>
    <row r="782">
      <c r="F782" s="82"/>
      <c r="Q782" s="66"/>
    </row>
    <row r="783">
      <c r="F783" s="82"/>
      <c r="Q783" s="66"/>
    </row>
    <row r="784">
      <c r="F784" s="82"/>
      <c r="Q784" s="66"/>
    </row>
    <row r="785">
      <c r="F785" s="82"/>
      <c r="Q785" s="66"/>
    </row>
    <row r="786">
      <c r="F786" s="82"/>
      <c r="Q786" s="66"/>
    </row>
    <row r="787">
      <c r="F787" s="82"/>
      <c r="Q787" s="66"/>
    </row>
    <row r="788">
      <c r="F788" s="82"/>
      <c r="Q788" s="66"/>
    </row>
    <row r="789">
      <c r="F789" s="82"/>
      <c r="Q789" s="66"/>
    </row>
    <row r="790">
      <c r="F790" s="82"/>
      <c r="Q790" s="66"/>
    </row>
    <row r="791">
      <c r="F791" s="82"/>
      <c r="Q791" s="66"/>
    </row>
    <row r="792">
      <c r="F792" s="82"/>
      <c r="Q792" s="66"/>
    </row>
    <row r="793">
      <c r="F793" s="82"/>
      <c r="Q793" s="66"/>
    </row>
    <row r="794">
      <c r="F794" s="82"/>
      <c r="Q794" s="66"/>
    </row>
    <row r="795">
      <c r="F795" s="82"/>
      <c r="Q795" s="66"/>
    </row>
    <row r="796">
      <c r="F796" s="82"/>
      <c r="Q796" s="66"/>
    </row>
    <row r="797">
      <c r="F797" s="82"/>
      <c r="Q797" s="66"/>
    </row>
    <row r="798">
      <c r="F798" s="82"/>
      <c r="Q798" s="66"/>
    </row>
    <row r="799">
      <c r="F799" s="82"/>
      <c r="Q799" s="66"/>
    </row>
    <row r="800">
      <c r="F800" s="82"/>
      <c r="Q800" s="66"/>
    </row>
    <row r="801">
      <c r="F801" s="82"/>
      <c r="Q801" s="66"/>
    </row>
    <row r="802">
      <c r="F802" s="82"/>
      <c r="Q802" s="66"/>
    </row>
    <row r="803">
      <c r="F803" s="82"/>
      <c r="Q803" s="66"/>
    </row>
    <row r="804">
      <c r="F804" s="82"/>
      <c r="Q804" s="66"/>
    </row>
    <row r="805">
      <c r="F805" s="82"/>
      <c r="Q805" s="66"/>
    </row>
    <row r="806">
      <c r="F806" s="82"/>
      <c r="Q806" s="66"/>
    </row>
    <row r="807">
      <c r="F807" s="82"/>
      <c r="Q807" s="66"/>
    </row>
    <row r="808">
      <c r="F808" s="82"/>
      <c r="Q808" s="66"/>
    </row>
    <row r="809">
      <c r="F809" s="82"/>
      <c r="Q809" s="66"/>
    </row>
    <row r="810">
      <c r="F810" s="82"/>
      <c r="Q810" s="66"/>
    </row>
    <row r="811">
      <c r="F811" s="82"/>
      <c r="Q811" s="66"/>
    </row>
    <row r="812">
      <c r="F812" s="82"/>
      <c r="Q812" s="66"/>
    </row>
    <row r="813">
      <c r="F813" s="82"/>
      <c r="Q813" s="66"/>
    </row>
    <row r="814">
      <c r="F814" s="82"/>
      <c r="Q814" s="66"/>
    </row>
    <row r="815">
      <c r="F815" s="82"/>
      <c r="Q815" s="66"/>
    </row>
    <row r="816">
      <c r="F816" s="82"/>
      <c r="Q816" s="66"/>
    </row>
    <row r="817">
      <c r="F817" s="82"/>
      <c r="Q817" s="66"/>
    </row>
    <row r="818">
      <c r="F818" s="82"/>
      <c r="Q818" s="66"/>
    </row>
    <row r="819">
      <c r="F819" s="82"/>
      <c r="Q819" s="66"/>
    </row>
    <row r="820">
      <c r="F820" s="82"/>
      <c r="Q820" s="66"/>
    </row>
    <row r="821">
      <c r="F821" s="82"/>
      <c r="Q821" s="66"/>
    </row>
    <row r="822">
      <c r="F822" s="82"/>
      <c r="Q822" s="66"/>
    </row>
    <row r="823">
      <c r="F823" s="82"/>
      <c r="Q823" s="66"/>
    </row>
    <row r="824">
      <c r="F824" s="82"/>
      <c r="Q824" s="66"/>
    </row>
    <row r="825">
      <c r="F825" s="82"/>
      <c r="Q825" s="66"/>
    </row>
    <row r="826">
      <c r="F826" s="82"/>
      <c r="Q826" s="66"/>
    </row>
    <row r="827">
      <c r="F827" s="82"/>
      <c r="Q827" s="66"/>
    </row>
    <row r="828">
      <c r="F828" s="82"/>
      <c r="Q828" s="66"/>
    </row>
    <row r="829">
      <c r="F829" s="82"/>
      <c r="Q829" s="66"/>
    </row>
    <row r="830">
      <c r="F830" s="82"/>
      <c r="Q830" s="66"/>
    </row>
    <row r="831">
      <c r="F831" s="82"/>
      <c r="Q831" s="66"/>
    </row>
    <row r="832">
      <c r="F832" s="82"/>
      <c r="Q832" s="66"/>
    </row>
    <row r="833">
      <c r="F833" s="82"/>
      <c r="Q833" s="66"/>
    </row>
    <row r="834">
      <c r="F834" s="82"/>
      <c r="Q834" s="66"/>
    </row>
    <row r="835">
      <c r="F835" s="82"/>
      <c r="Q835" s="66"/>
    </row>
    <row r="836">
      <c r="F836" s="82"/>
      <c r="Q836" s="66"/>
    </row>
    <row r="837">
      <c r="F837" s="82"/>
      <c r="Q837" s="66"/>
    </row>
    <row r="838">
      <c r="F838" s="82"/>
      <c r="Q838" s="66"/>
    </row>
    <row r="839">
      <c r="F839" s="82"/>
      <c r="Q839" s="66"/>
    </row>
    <row r="840">
      <c r="F840" s="82"/>
      <c r="Q840" s="66"/>
    </row>
    <row r="841">
      <c r="F841" s="82"/>
      <c r="Q841" s="66"/>
    </row>
    <row r="842">
      <c r="F842" s="82"/>
      <c r="Q842" s="66"/>
    </row>
    <row r="843">
      <c r="F843" s="82"/>
      <c r="Q843" s="66"/>
    </row>
    <row r="844">
      <c r="F844" s="82"/>
      <c r="Q844" s="66"/>
    </row>
    <row r="845">
      <c r="F845" s="82"/>
      <c r="Q845" s="66"/>
    </row>
    <row r="846">
      <c r="F846" s="82"/>
      <c r="Q846" s="66"/>
    </row>
    <row r="847">
      <c r="F847" s="82"/>
      <c r="Q847" s="66"/>
    </row>
    <row r="848">
      <c r="F848" s="82"/>
      <c r="Q848" s="66"/>
    </row>
    <row r="849">
      <c r="F849" s="82"/>
      <c r="Q849" s="66"/>
    </row>
    <row r="850">
      <c r="F850" s="82"/>
      <c r="Q850" s="66"/>
    </row>
    <row r="851">
      <c r="F851" s="82"/>
      <c r="Q851" s="66"/>
    </row>
    <row r="852">
      <c r="F852" s="82"/>
      <c r="Q852" s="66"/>
    </row>
    <row r="853">
      <c r="F853" s="82"/>
      <c r="Q853" s="66"/>
    </row>
    <row r="854">
      <c r="F854" s="82"/>
      <c r="Q854" s="66"/>
    </row>
    <row r="855">
      <c r="F855" s="82"/>
      <c r="Q855" s="66"/>
    </row>
    <row r="856">
      <c r="F856" s="82"/>
      <c r="Q856" s="66"/>
    </row>
    <row r="857">
      <c r="F857" s="82"/>
      <c r="Q857" s="66"/>
    </row>
    <row r="858">
      <c r="F858" s="82"/>
      <c r="Q858" s="66"/>
    </row>
    <row r="859">
      <c r="F859" s="82"/>
      <c r="Q859" s="66"/>
    </row>
    <row r="860">
      <c r="F860" s="82"/>
      <c r="Q860" s="66"/>
    </row>
    <row r="861">
      <c r="F861" s="82"/>
      <c r="Q861" s="66"/>
    </row>
    <row r="862">
      <c r="F862" s="82"/>
      <c r="Q862" s="66"/>
    </row>
    <row r="863">
      <c r="F863" s="82"/>
      <c r="Q863" s="66"/>
    </row>
    <row r="864">
      <c r="F864" s="82"/>
      <c r="Q864" s="66"/>
    </row>
    <row r="865">
      <c r="F865" s="82"/>
      <c r="Q865" s="66"/>
    </row>
    <row r="866">
      <c r="F866" s="82"/>
      <c r="Q866" s="66"/>
    </row>
    <row r="867">
      <c r="F867" s="82"/>
      <c r="Q867" s="66"/>
    </row>
    <row r="868">
      <c r="F868" s="82"/>
      <c r="Q868" s="66"/>
    </row>
    <row r="869">
      <c r="F869" s="82"/>
      <c r="Q869" s="66"/>
    </row>
    <row r="870">
      <c r="F870" s="82"/>
      <c r="Q870" s="66"/>
    </row>
    <row r="871">
      <c r="F871" s="82"/>
      <c r="Q871" s="66"/>
    </row>
    <row r="872">
      <c r="F872" s="82"/>
      <c r="Q872" s="66"/>
    </row>
    <row r="873">
      <c r="F873" s="82"/>
      <c r="Q873" s="66"/>
    </row>
    <row r="874">
      <c r="F874" s="82"/>
      <c r="Q874" s="66"/>
    </row>
    <row r="875">
      <c r="F875" s="82"/>
      <c r="Q875" s="66"/>
    </row>
    <row r="876">
      <c r="F876" s="82"/>
      <c r="Q876" s="66"/>
    </row>
    <row r="877">
      <c r="F877" s="82"/>
      <c r="Q877" s="66"/>
    </row>
    <row r="878">
      <c r="F878" s="82"/>
      <c r="Q878" s="66"/>
    </row>
    <row r="879">
      <c r="F879" s="82"/>
      <c r="Q879" s="66"/>
    </row>
    <row r="880">
      <c r="F880" s="82"/>
      <c r="Q880" s="66"/>
    </row>
    <row r="881">
      <c r="F881" s="82"/>
      <c r="Q881" s="66"/>
    </row>
    <row r="882">
      <c r="F882" s="82"/>
      <c r="Q882" s="66"/>
    </row>
    <row r="883">
      <c r="F883" s="82"/>
      <c r="Q883" s="66"/>
    </row>
    <row r="884">
      <c r="F884" s="82"/>
      <c r="Q884" s="66"/>
    </row>
    <row r="885">
      <c r="F885" s="82"/>
      <c r="Q885" s="66"/>
    </row>
    <row r="886">
      <c r="F886" s="82"/>
      <c r="Q886" s="66"/>
    </row>
    <row r="887">
      <c r="F887" s="82"/>
      <c r="Q887" s="66"/>
    </row>
    <row r="888">
      <c r="F888" s="82"/>
      <c r="Q888" s="66"/>
    </row>
    <row r="889">
      <c r="F889" s="82"/>
      <c r="Q889" s="66"/>
    </row>
    <row r="890">
      <c r="F890" s="82"/>
      <c r="Q890" s="66"/>
    </row>
    <row r="891">
      <c r="F891" s="82"/>
      <c r="Q891" s="66"/>
    </row>
    <row r="892">
      <c r="F892" s="82"/>
      <c r="Q892" s="66"/>
    </row>
    <row r="893">
      <c r="F893" s="82"/>
      <c r="Q893" s="66"/>
    </row>
    <row r="894">
      <c r="F894" s="82"/>
      <c r="Q894" s="66"/>
    </row>
    <row r="895">
      <c r="F895" s="82"/>
      <c r="Q895" s="66"/>
    </row>
    <row r="896">
      <c r="F896" s="82"/>
      <c r="Q896" s="66"/>
    </row>
    <row r="897">
      <c r="F897" s="82"/>
      <c r="Q897" s="66"/>
    </row>
    <row r="898">
      <c r="F898" s="82"/>
      <c r="Q898" s="66"/>
    </row>
    <row r="899">
      <c r="F899" s="82"/>
      <c r="Q899" s="66"/>
    </row>
    <row r="900">
      <c r="F900" s="82"/>
      <c r="Q900" s="66"/>
    </row>
    <row r="901">
      <c r="F901" s="82"/>
      <c r="Q901" s="66"/>
    </row>
    <row r="902">
      <c r="F902" s="82"/>
      <c r="Q902" s="66"/>
    </row>
    <row r="903">
      <c r="F903" s="82"/>
      <c r="Q903" s="66"/>
    </row>
    <row r="904">
      <c r="F904" s="82"/>
      <c r="Q904" s="66"/>
    </row>
    <row r="905">
      <c r="F905" s="82"/>
      <c r="Q905" s="66"/>
    </row>
    <row r="906">
      <c r="F906" s="82"/>
      <c r="Q906" s="66"/>
    </row>
    <row r="907">
      <c r="F907" s="82"/>
      <c r="Q907" s="66"/>
    </row>
    <row r="908">
      <c r="F908" s="82"/>
      <c r="Q908" s="66"/>
    </row>
    <row r="909">
      <c r="F909" s="82"/>
      <c r="Q909" s="66"/>
    </row>
    <row r="910">
      <c r="F910" s="82"/>
      <c r="Q910" s="66"/>
    </row>
    <row r="911">
      <c r="F911" s="82"/>
      <c r="Q911" s="66"/>
    </row>
    <row r="912">
      <c r="F912" s="82"/>
      <c r="Q912" s="66"/>
    </row>
    <row r="913">
      <c r="F913" s="82"/>
      <c r="Q913" s="66"/>
    </row>
    <row r="914">
      <c r="F914" s="82"/>
      <c r="Q914" s="66"/>
    </row>
    <row r="915">
      <c r="F915" s="82"/>
      <c r="Q915" s="66"/>
    </row>
    <row r="916">
      <c r="F916" s="82"/>
      <c r="Q916" s="66"/>
    </row>
    <row r="917">
      <c r="F917" s="82"/>
      <c r="Q917" s="66"/>
    </row>
    <row r="918">
      <c r="F918" s="82"/>
      <c r="Q918" s="66"/>
    </row>
    <row r="919">
      <c r="F919" s="82"/>
      <c r="Q919" s="66"/>
    </row>
    <row r="920">
      <c r="F920" s="82"/>
      <c r="Q920" s="66"/>
    </row>
    <row r="921">
      <c r="F921" s="82"/>
      <c r="Q921" s="66"/>
    </row>
    <row r="922">
      <c r="F922" s="82"/>
      <c r="Q922" s="66"/>
    </row>
    <row r="923">
      <c r="F923" s="82"/>
      <c r="Q923" s="66"/>
    </row>
    <row r="924">
      <c r="F924" s="82"/>
      <c r="Q924" s="66"/>
    </row>
    <row r="925">
      <c r="F925" s="82"/>
      <c r="Q925" s="66"/>
    </row>
    <row r="926">
      <c r="F926" s="82"/>
      <c r="Q926" s="66"/>
    </row>
    <row r="927">
      <c r="F927" s="82"/>
      <c r="Q927" s="66"/>
    </row>
    <row r="928">
      <c r="F928" s="82"/>
      <c r="Q928" s="66"/>
    </row>
    <row r="929">
      <c r="F929" s="82"/>
      <c r="Q929" s="66"/>
    </row>
    <row r="930">
      <c r="F930" s="82"/>
      <c r="Q930" s="66"/>
    </row>
    <row r="931">
      <c r="F931" s="82"/>
      <c r="Q931" s="66"/>
    </row>
    <row r="932">
      <c r="F932" s="82"/>
      <c r="Q932" s="66"/>
    </row>
    <row r="933">
      <c r="F933" s="82"/>
      <c r="Q933" s="66"/>
    </row>
    <row r="934">
      <c r="F934" s="82"/>
      <c r="Q934" s="66"/>
    </row>
    <row r="935">
      <c r="F935" s="82"/>
      <c r="Q935" s="66"/>
    </row>
    <row r="936">
      <c r="F936" s="82"/>
      <c r="Q936" s="66"/>
    </row>
    <row r="937">
      <c r="F937" s="82"/>
      <c r="Q937" s="66"/>
    </row>
    <row r="938">
      <c r="F938" s="82"/>
      <c r="Q938" s="66"/>
    </row>
    <row r="939">
      <c r="F939" s="82"/>
      <c r="Q939" s="66"/>
    </row>
    <row r="940">
      <c r="F940" s="82"/>
      <c r="Q940" s="66"/>
    </row>
    <row r="941">
      <c r="F941" s="82"/>
      <c r="Q941" s="66"/>
    </row>
    <row r="942">
      <c r="F942" s="82"/>
      <c r="Q942" s="66"/>
    </row>
    <row r="943">
      <c r="F943" s="82"/>
      <c r="Q943" s="66"/>
    </row>
    <row r="944">
      <c r="F944" s="82"/>
      <c r="Q944" s="66"/>
    </row>
    <row r="945">
      <c r="F945" s="82"/>
      <c r="Q945" s="66"/>
    </row>
    <row r="946">
      <c r="F946" s="82"/>
      <c r="Q946" s="66"/>
    </row>
    <row r="947">
      <c r="F947" s="82"/>
      <c r="Q947" s="66"/>
    </row>
    <row r="948">
      <c r="F948" s="82"/>
      <c r="Q948" s="66"/>
    </row>
    <row r="949">
      <c r="F949" s="82"/>
      <c r="Q949" s="66"/>
    </row>
    <row r="950">
      <c r="F950" s="82"/>
      <c r="Q950" s="66"/>
    </row>
    <row r="951">
      <c r="F951" s="82"/>
      <c r="Q951" s="66"/>
    </row>
    <row r="952">
      <c r="F952" s="82"/>
      <c r="Q952" s="66"/>
    </row>
    <row r="953">
      <c r="F953" s="82"/>
      <c r="Q953" s="66"/>
    </row>
    <row r="954">
      <c r="F954" s="82"/>
      <c r="Q954" s="66"/>
    </row>
    <row r="955">
      <c r="F955" s="82"/>
      <c r="Q955" s="66"/>
    </row>
    <row r="956">
      <c r="F956" s="82"/>
      <c r="Q956" s="66"/>
    </row>
    <row r="957">
      <c r="F957" s="82"/>
      <c r="Q957" s="66"/>
    </row>
    <row r="958">
      <c r="F958" s="82"/>
      <c r="Q958" s="66"/>
    </row>
    <row r="959">
      <c r="F959" s="82"/>
      <c r="Q959" s="66"/>
    </row>
    <row r="960">
      <c r="F960" s="82"/>
      <c r="Q960" s="66"/>
    </row>
    <row r="961">
      <c r="F961" s="82"/>
      <c r="Q961" s="66"/>
    </row>
    <row r="962">
      <c r="F962" s="82"/>
      <c r="Q962" s="66"/>
    </row>
    <row r="963">
      <c r="F963" s="82"/>
      <c r="Q963" s="66"/>
    </row>
    <row r="964">
      <c r="F964" s="82"/>
      <c r="Q964" s="66"/>
    </row>
    <row r="965">
      <c r="F965" s="82"/>
      <c r="Q965" s="66"/>
    </row>
    <row r="966">
      <c r="F966" s="82"/>
      <c r="Q966" s="66"/>
    </row>
    <row r="967">
      <c r="F967" s="82"/>
      <c r="Q967" s="66"/>
    </row>
    <row r="968">
      <c r="F968" s="82"/>
      <c r="Q968" s="66"/>
    </row>
    <row r="969">
      <c r="F969" s="82"/>
      <c r="Q969" s="66"/>
    </row>
    <row r="970">
      <c r="F970" s="82"/>
      <c r="Q970" s="66"/>
    </row>
    <row r="971">
      <c r="F971" s="82"/>
      <c r="Q971" s="66"/>
    </row>
    <row r="972">
      <c r="F972" s="82"/>
      <c r="Q972" s="66"/>
    </row>
    <row r="973">
      <c r="F973" s="82"/>
      <c r="Q973" s="66"/>
    </row>
    <row r="974">
      <c r="F974" s="82"/>
      <c r="Q974" s="66"/>
    </row>
    <row r="975">
      <c r="F975" s="82"/>
      <c r="Q975" s="66"/>
    </row>
    <row r="976">
      <c r="F976" s="82"/>
      <c r="Q976" s="66"/>
    </row>
    <row r="977">
      <c r="F977" s="82"/>
      <c r="Q977" s="66"/>
    </row>
    <row r="978">
      <c r="F978" s="82"/>
      <c r="Q978" s="66"/>
    </row>
    <row r="979">
      <c r="F979" s="82"/>
      <c r="Q979" s="66"/>
    </row>
    <row r="980">
      <c r="F980" s="82"/>
      <c r="Q980" s="66"/>
    </row>
    <row r="981">
      <c r="F981" s="82"/>
      <c r="Q981" s="66"/>
    </row>
    <row r="982">
      <c r="F982" s="82"/>
      <c r="Q982" s="66"/>
    </row>
    <row r="983">
      <c r="F983" s="82"/>
      <c r="Q983" s="66"/>
    </row>
  </sheetData>
  <mergeCells count="15">
    <mergeCell ref="A32:J32"/>
    <mergeCell ref="A33:J33"/>
    <mergeCell ref="A40:J40"/>
    <mergeCell ref="A41:J41"/>
    <mergeCell ref="A48:J48"/>
    <mergeCell ref="A49:J49"/>
    <mergeCell ref="A56:J56"/>
    <mergeCell ref="A57:J57"/>
    <mergeCell ref="A1:J1"/>
    <mergeCell ref="A8:J8"/>
    <mergeCell ref="A9:J9"/>
    <mergeCell ref="A16:J16"/>
    <mergeCell ref="A17:J17"/>
    <mergeCell ref="A24:J24"/>
    <mergeCell ref="A25:J25"/>
  </mergeCells>
  <conditionalFormatting sqref="C4:C7 C12:C15 C20:C23 C28:C31 C36:C39 C44:C47 C52:C55 C60:C63">
    <cfRule type="cellIs" dxfId="3" priority="1" operator="greaterThan">
      <formula>200000</formula>
    </cfRule>
  </conditionalFormatting>
  <conditionalFormatting sqref="C4:C7 C12:C15 C20:C23 C28:C31 C36:C39 C44:C47 C52:C55 C60:C63">
    <cfRule type="cellIs" dxfId="4" priority="2" operator="greaterThan">
      <formula>200000/2</formula>
    </cfRule>
  </conditionalFormatting>
  <conditionalFormatting sqref="C4:C7 C12:C15 C20:C23 C28:C31 C36:C39 C44:C47 C52:C55 C60:C63">
    <cfRule type="cellIs" dxfId="5" priority="3" operator="greaterThan">
      <formula>200000/4</formula>
    </cfRule>
  </conditionalFormatting>
  <conditionalFormatting sqref="J4:J7 J12:J15 J20:J23 J28:J31 J36:J39 J44:J47 J52:J55 J60:J63">
    <cfRule type="cellIs" dxfId="6" priority="4" operator="lessThan">
      <formula>8</formula>
    </cfRule>
  </conditionalFormatting>
  <conditionalFormatting sqref="J4:J7 J12:J15 J20:J23 J28:J31 J36:J39 J44:J47 J52:J55 J60:J63">
    <cfRule type="cellIs" dxfId="7" priority="5" operator="greaterThan">
      <formula>16</formula>
    </cfRule>
  </conditionalFormatting>
  <conditionalFormatting sqref="J4:J7 J12:J15 J20:J23 J28:J31 J36:J39 J44:J47 J52:J55 J60:J63">
    <cfRule type="cellIs" dxfId="8" priority="6" operator="greaterThan">
      <formula>8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 paperHeight="15in" paperWidth="10in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0" width="11.0"/>
    <col customWidth="1" min="11" max="11" width="8.63"/>
    <col customWidth="1" min="12" max="12" width="6.75"/>
    <col customWidth="1" min="13" max="13" width="5.63"/>
    <col customWidth="1" min="14" max="14" width="5.88"/>
    <col customWidth="1" min="15" max="15" width="5.13"/>
    <col customWidth="1" min="16" max="17" width="6.75"/>
    <col customWidth="1" min="18" max="18" width="7.5"/>
    <col customWidth="1" min="19" max="19" width="6.25"/>
    <col customWidth="1" min="20" max="20" width="8.75"/>
    <col customWidth="1" min="21" max="22" width="6.75"/>
    <col customWidth="1" min="23" max="23" width="7.75"/>
    <col customWidth="1" min="24" max="24" width="6.75"/>
    <col customWidth="1" min="25" max="25" width="6.63"/>
    <col customWidth="1" min="26" max="26" width="7.63"/>
    <col customWidth="1" min="27" max="27" width="6.0"/>
    <col customWidth="1" min="28" max="28" width="5.38"/>
    <col customWidth="1" min="29" max="29" width="5.0"/>
  </cols>
  <sheetData>
    <row r="1">
      <c r="A1" s="83" t="s">
        <v>52</v>
      </c>
      <c r="B1" s="2"/>
      <c r="C1" s="2"/>
      <c r="D1" s="2"/>
      <c r="E1" s="2"/>
      <c r="F1" s="2"/>
      <c r="G1" s="2"/>
      <c r="H1" s="2"/>
      <c r="I1" s="2"/>
      <c r="J1" s="3"/>
      <c r="K1" s="84"/>
      <c r="L1" s="84"/>
      <c r="M1" s="84"/>
      <c r="N1" s="84"/>
      <c r="O1" s="84"/>
      <c r="P1" s="84"/>
      <c r="Q1" s="85"/>
      <c r="R1" s="84"/>
      <c r="S1" s="84"/>
      <c r="T1" s="84"/>
      <c r="U1" s="84"/>
      <c r="V1" s="84"/>
      <c r="W1" s="86"/>
      <c r="X1" s="84"/>
      <c r="Y1" s="84"/>
      <c r="Z1" s="84"/>
      <c r="AA1" s="87"/>
      <c r="AB1" s="84"/>
      <c r="AC1" s="84"/>
    </row>
    <row r="2">
      <c r="A2" s="88" t="s">
        <v>1</v>
      </c>
      <c r="B2" s="89" t="s">
        <v>2</v>
      </c>
      <c r="C2" s="90" t="s">
        <v>3</v>
      </c>
      <c r="D2" s="90" t="s">
        <v>4</v>
      </c>
      <c r="E2" s="90" t="s">
        <v>5</v>
      </c>
      <c r="F2" s="90" t="s">
        <v>6</v>
      </c>
      <c r="G2" s="89" t="s">
        <v>7</v>
      </c>
      <c r="H2" s="91" t="s">
        <v>8</v>
      </c>
      <c r="I2" s="92" t="s">
        <v>9</v>
      </c>
      <c r="J2" s="93" t="s">
        <v>10</v>
      </c>
      <c r="K2" s="94" t="s">
        <v>11</v>
      </c>
      <c r="L2" s="94" t="s">
        <v>12</v>
      </c>
      <c r="M2" s="94" t="s">
        <v>13</v>
      </c>
      <c r="N2" s="94" t="s">
        <v>14</v>
      </c>
      <c r="O2" s="94" t="s">
        <v>15</v>
      </c>
      <c r="P2" s="94" t="s">
        <v>16</v>
      </c>
      <c r="Q2" s="95" t="s">
        <v>17</v>
      </c>
      <c r="R2" s="94" t="s">
        <v>18</v>
      </c>
      <c r="S2" s="94" t="s">
        <v>19</v>
      </c>
      <c r="T2" s="94" t="s">
        <v>20</v>
      </c>
      <c r="U2" s="94" t="s">
        <v>21</v>
      </c>
      <c r="V2" s="94" t="s">
        <v>22</v>
      </c>
      <c r="W2" s="96" t="s">
        <v>23</v>
      </c>
      <c r="X2" s="94" t="s">
        <v>24</v>
      </c>
      <c r="Y2" s="94" t="s">
        <v>25</v>
      </c>
      <c r="Z2" s="94" t="s">
        <v>26</v>
      </c>
      <c r="AA2" s="97" t="s">
        <v>27</v>
      </c>
      <c r="AB2" s="94" t="s">
        <v>28</v>
      </c>
      <c r="AC2" s="94" t="s">
        <v>29</v>
      </c>
    </row>
    <row r="3">
      <c r="A3" s="98" t="s">
        <v>30</v>
      </c>
      <c r="B3" s="99" t="s">
        <v>31</v>
      </c>
      <c r="C3" s="100" t="s">
        <v>32</v>
      </c>
      <c r="D3" s="101" t="s">
        <v>33</v>
      </c>
      <c r="E3" s="100" t="s">
        <v>34</v>
      </c>
      <c r="F3" s="102" t="s">
        <v>34</v>
      </c>
      <c r="G3" s="103" t="s">
        <v>35</v>
      </c>
      <c r="H3" s="104" t="s">
        <v>35</v>
      </c>
      <c r="I3" s="105" t="s">
        <v>36</v>
      </c>
      <c r="J3" s="106" t="s">
        <v>36</v>
      </c>
      <c r="K3" s="107" t="s">
        <v>37</v>
      </c>
      <c r="L3" s="108" t="s">
        <v>38</v>
      </c>
      <c r="M3" s="108" t="s">
        <v>38</v>
      </c>
      <c r="N3" s="108" t="s">
        <v>39</v>
      </c>
      <c r="O3" s="108" t="s">
        <v>38</v>
      </c>
      <c r="P3" s="109" t="s">
        <v>40</v>
      </c>
      <c r="Q3" s="109" t="s">
        <v>40</v>
      </c>
      <c r="R3" s="109" t="s">
        <v>40</v>
      </c>
      <c r="S3" s="109" t="s">
        <v>41</v>
      </c>
      <c r="T3" s="110" t="s">
        <v>42</v>
      </c>
      <c r="U3" s="108" t="s">
        <v>43</v>
      </c>
      <c r="V3" s="108" t="s">
        <v>38</v>
      </c>
      <c r="W3" s="111" t="s">
        <v>30</v>
      </c>
      <c r="X3" s="108" t="s">
        <v>38</v>
      </c>
      <c r="Y3" s="108" t="s">
        <v>30</v>
      </c>
      <c r="Z3" s="108" t="s">
        <v>35</v>
      </c>
      <c r="AA3" s="112" t="s">
        <v>30</v>
      </c>
      <c r="AB3" s="108" t="s">
        <v>30</v>
      </c>
      <c r="AC3" s="108" t="s">
        <v>30</v>
      </c>
    </row>
    <row r="4">
      <c r="A4" s="113">
        <v>10.0</v>
      </c>
      <c r="B4" s="114">
        <f t="shared" ref="B4:B7" si="1">K4*A4*U4/(L4)</f>
        <v>0.004084070449</v>
      </c>
      <c r="C4" s="115">
        <f t="shared" ref="C4:C7" si="2">2*PI()*T4*A4*B4*N4</f>
        <v>529.3345189</v>
      </c>
      <c r="D4" s="116">
        <f t="shared" ref="D4:D7" si="3">(B4*AA4)^2/(4*K4)*AB4*AC4</f>
        <v>9.718272172</v>
      </c>
      <c r="E4" s="115">
        <f t="shared" ref="E4:E7" si="4">D4*N4</f>
        <v>242.9568043</v>
      </c>
      <c r="F4" s="117">
        <f t="shared" ref="F4:F7" si="5">((B4*AA4)^2*N4/(2*K4))*S4*AC4</f>
        <v>1.96300178</v>
      </c>
      <c r="G4" s="118">
        <f t="shared" ref="G4:G7" si="6">F4*Q4</f>
        <v>196.300178</v>
      </c>
      <c r="H4" s="119">
        <f t="shared" ref="H4:H7" si="7">B4*U4*V4*W4*X4*T4*AB4*AC4</f>
        <v>510.740556</v>
      </c>
      <c r="I4" s="120">
        <f>((G4+H4+Z4)/1000000)/Y4</f>
        <v>0.9269461952</v>
      </c>
      <c r="J4" s="121">
        <f t="shared" ref="J4:J7" si="8">(I4+(H4+F4*Q4)/1000000)*2</f>
        <v>1.855306472</v>
      </c>
      <c r="K4" s="122">
        <v>1.2566370612699998E-6</v>
      </c>
      <c r="L4" s="123">
        <v>0.5</v>
      </c>
      <c r="M4" s="123">
        <v>50.0</v>
      </c>
      <c r="N4" s="123">
        <f t="shared" ref="N4:N7" si="9">L4*M4</f>
        <v>25</v>
      </c>
      <c r="O4" s="123">
        <v>0.2</v>
      </c>
      <c r="P4" s="124">
        <v>8151.2</v>
      </c>
      <c r="Q4" s="124">
        <v>100.0</v>
      </c>
      <c r="R4" s="124">
        <f t="shared" ref="R4:R7" si="10">P4+Q4</f>
        <v>8251.2</v>
      </c>
      <c r="S4" s="125">
        <f t="shared" ref="S4:S7" si="11">Q4/R4</f>
        <v>0.01211944929</v>
      </c>
      <c r="T4" s="126">
        <f t="shared" ref="T4:T7" si="12">R4/(2*M4)</f>
        <v>82.512</v>
      </c>
      <c r="U4" s="127">
        <v>162.5</v>
      </c>
      <c r="V4" s="127">
        <v>0.003</v>
      </c>
      <c r="W4" s="128">
        <v>0.34202</v>
      </c>
      <c r="X4" s="123">
        <f t="shared" ref="X4:X7" si="13">2*(L4+M4)*A4</f>
        <v>1010</v>
      </c>
      <c r="Y4" s="123">
        <v>0.055</v>
      </c>
      <c r="Z4" s="123">
        <v>50275.0</v>
      </c>
      <c r="AA4" s="129">
        <f t="shared" ref="AA4:AA7" si="14">(2/PI())*atan(L4/(2*O4))</f>
        <v>0.570446575</v>
      </c>
      <c r="AB4" s="123">
        <v>3.0</v>
      </c>
      <c r="AC4" s="123">
        <v>3.0</v>
      </c>
    </row>
    <row r="5">
      <c r="A5" s="130">
        <v>98.0</v>
      </c>
      <c r="B5" s="131">
        <f t="shared" si="1"/>
        <v>0.0400238904</v>
      </c>
      <c r="C5" s="132">
        <f t="shared" si="2"/>
        <v>50837.28719</v>
      </c>
      <c r="D5" s="133">
        <f t="shared" si="3"/>
        <v>933.3428594</v>
      </c>
      <c r="E5" s="132">
        <f t="shared" si="4"/>
        <v>23333.57149</v>
      </c>
      <c r="F5" s="134">
        <f t="shared" si="5"/>
        <v>188.5266909</v>
      </c>
      <c r="G5" s="135">
        <f t="shared" si="6"/>
        <v>18852.66909</v>
      </c>
      <c r="H5" s="136">
        <f t="shared" si="7"/>
        <v>49051.523</v>
      </c>
      <c r="I5" s="35">
        <f>((G5+H5+Z4)/1000000)/Y5</f>
        <v>2.148712583</v>
      </c>
      <c r="J5" s="137">
        <f t="shared" si="8"/>
        <v>4.433233551</v>
      </c>
      <c r="K5" s="122">
        <v>1.2566370612699998E-6</v>
      </c>
      <c r="L5" s="123">
        <v>0.5</v>
      </c>
      <c r="M5" s="123">
        <v>50.0</v>
      </c>
      <c r="N5" s="123">
        <f t="shared" si="9"/>
        <v>25</v>
      </c>
      <c r="O5" s="123">
        <v>0.2</v>
      </c>
      <c r="P5" s="124">
        <v>8151.2</v>
      </c>
      <c r="Q5" s="124">
        <v>100.0</v>
      </c>
      <c r="R5" s="124">
        <f t="shared" si="10"/>
        <v>8251.2</v>
      </c>
      <c r="S5" s="125">
        <f t="shared" si="11"/>
        <v>0.01211944929</v>
      </c>
      <c r="T5" s="126">
        <f t="shared" si="12"/>
        <v>82.512</v>
      </c>
      <c r="U5" s="127">
        <v>162.5</v>
      </c>
      <c r="V5" s="127">
        <v>0.003</v>
      </c>
      <c r="W5" s="128">
        <v>0.34202</v>
      </c>
      <c r="X5" s="123">
        <f t="shared" si="13"/>
        <v>9898</v>
      </c>
      <c r="Y5" s="123">
        <v>0.055</v>
      </c>
      <c r="Z5" s="123">
        <v>50275.0</v>
      </c>
      <c r="AA5" s="129">
        <f t="shared" si="14"/>
        <v>0.570446575</v>
      </c>
      <c r="AB5" s="123">
        <v>3.0</v>
      </c>
      <c r="AC5" s="123">
        <v>3.0</v>
      </c>
    </row>
    <row r="6">
      <c r="A6" s="138">
        <v>138.0</v>
      </c>
      <c r="B6" s="139">
        <f t="shared" si="1"/>
        <v>0.0563601722</v>
      </c>
      <c r="C6" s="140">
        <f t="shared" si="2"/>
        <v>100806.4658</v>
      </c>
      <c r="D6" s="141">
        <f t="shared" si="3"/>
        <v>1850.747752</v>
      </c>
      <c r="E6" s="140">
        <f t="shared" si="4"/>
        <v>46268.69381</v>
      </c>
      <c r="F6" s="142">
        <f t="shared" si="5"/>
        <v>373.834059</v>
      </c>
      <c r="G6" s="143">
        <f t="shared" si="6"/>
        <v>37383.4059</v>
      </c>
      <c r="H6" s="144">
        <f t="shared" si="7"/>
        <v>97265.43148</v>
      </c>
      <c r="I6" s="145">
        <f>((G6+H6+Z4)/1000000)/Y6</f>
        <v>3.362251589</v>
      </c>
      <c r="J6" s="146">
        <f t="shared" si="8"/>
        <v>6.993800852</v>
      </c>
      <c r="K6" s="122">
        <v>1.2566370612699998E-6</v>
      </c>
      <c r="L6" s="123">
        <v>0.5</v>
      </c>
      <c r="M6" s="123">
        <v>50.0</v>
      </c>
      <c r="N6" s="123">
        <f t="shared" si="9"/>
        <v>25</v>
      </c>
      <c r="O6" s="123">
        <v>0.2</v>
      </c>
      <c r="P6" s="124">
        <v>8151.2</v>
      </c>
      <c r="Q6" s="124">
        <v>100.0</v>
      </c>
      <c r="R6" s="124">
        <f t="shared" si="10"/>
        <v>8251.2</v>
      </c>
      <c r="S6" s="125">
        <f t="shared" si="11"/>
        <v>0.01211944929</v>
      </c>
      <c r="T6" s="126">
        <f t="shared" si="12"/>
        <v>82.512</v>
      </c>
      <c r="U6" s="127">
        <v>162.5</v>
      </c>
      <c r="V6" s="127">
        <v>0.003</v>
      </c>
      <c r="W6" s="128">
        <v>0.34202</v>
      </c>
      <c r="X6" s="123">
        <f t="shared" si="13"/>
        <v>13938</v>
      </c>
      <c r="Y6" s="123">
        <v>0.055</v>
      </c>
      <c r="Z6" s="123">
        <v>50275.0</v>
      </c>
      <c r="AA6" s="129">
        <f t="shared" si="14"/>
        <v>0.570446575</v>
      </c>
      <c r="AB6" s="123">
        <v>3.0</v>
      </c>
      <c r="AC6" s="123">
        <v>3.0</v>
      </c>
    </row>
    <row r="7">
      <c r="A7" s="147">
        <v>195.0</v>
      </c>
      <c r="B7" s="148">
        <f t="shared" si="1"/>
        <v>0.07963937376</v>
      </c>
      <c r="C7" s="149">
        <f t="shared" si="2"/>
        <v>201279.4508</v>
      </c>
      <c r="D7" s="150">
        <f t="shared" si="3"/>
        <v>3695.372993</v>
      </c>
      <c r="E7" s="149">
        <f t="shared" si="4"/>
        <v>92384.32484</v>
      </c>
      <c r="F7" s="151">
        <f t="shared" si="5"/>
        <v>746.4314268</v>
      </c>
      <c r="G7" s="152">
        <f t="shared" si="6"/>
        <v>74643.14268</v>
      </c>
      <c r="H7" s="153">
        <f t="shared" si="7"/>
        <v>194209.0964</v>
      </c>
      <c r="I7" s="64">
        <f>((G7+H7+Z4)/1000000)/Y7</f>
        <v>5.802313438</v>
      </c>
      <c r="J7" s="154">
        <f t="shared" si="8"/>
        <v>12.14233135</v>
      </c>
      <c r="K7" s="122">
        <v>1.2566370612699998E-6</v>
      </c>
      <c r="L7" s="123">
        <v>0.5</v>
      </c>
      <c r="M7" s="123">
        <v>50.0</v>
      </c>
      <c r="N7" s="123">
        <f t="shared" si="9"/>
        <v>25</v>
      </c>
      <c r="O7" s="123">
        <v>0.2</v>
      </c>
      <c r="P7" s="124">
        <v>8151.2</v>
      </c>
      <c r="Q7" s="124">
        <v>100.0</v>
      </c>
      <c r="R7" s="124">
        <f t="shared" si="10"/>
        <v>8251.2</v>
      </c>
      <c r="S7" s="125">
        <f t="shared" si="11"/>
        <v>0.01211944929</v>
      </c>
      <c r="T7" s="126">
        <f t="shared" si="12"/>
        <v>82.512</v>
      </c>
      <c r="U7" s="127">
        <v>162.5</v>
      </c>
      <c r="V7" s="127">
        <v>0.003</v>
      </c>
      <c r="W7" s="128">
        <v>0.34202</v>
      </c>
      <c r="X7" s="123">
        <f t="shared" si="13"/>
        <v>19695</v>
      </c>
      <c r="Y7" s="123">
        <v>0.055</v>
      </c>
      <c r="Z7" s="123">
        <v>50275.0</v>
      </c>
      <c r="AA7" s="129">
        <f t="shared" si="14"/>
        <v>0.570446575</v>
      </c>
      <c r="AB7" s="123">
        <v>3.0</v>
      </c>
      <c r="AC7" s="123">
        <v>3.0</v>
      </c>
    </row>
    <row r="8">
      <c r="A8" s="155"/>
      <c r="K8" s="156"/>
      <c r="L8" s="157"/>
      <c r="M8" s="157"/>
      <c r="N8" s="157"/>
      <c r="O8" s="157"/>
      <c r="P8" s="158"/>
      <c r="Q8" s="158"/>
      <c r="R8" s="158"/>
      <c r="S8" s="159"/>
      <c r="T8" s="160"/>
      <c r="U8" s="161"/>
      <c r="V8" s="161"/>
      <c r="W8" s="162"/>
      <c r="X8" s="157"/>
      <c r="Y8" s="157"/>
      <c r="Z8" s="157"/>
      <c r="AA8" s="163"/>
      <c r="AB8" s="157"/>
      <c r="AC8" s="157"/>
    </row>
    <row r="9">
      <c r="A9" s="83" t="s">
        <v>53</v>
      </c>
      <c r="B9" s="164"/>
      <c r="C9" s="164"/>
      <c r="D9" s="164"/>
      <c r="E9" s="164"/>
      <c r="F9" s="164"/>
      <c r="G9" s="164"/>
      <c r="H9" s="164"/>
      <c r="I9" s="164"/>
      <c r="J9" s="3"/>
      <c r="K9" s="156"/>
      <c r="L9" s="157"/>
      <c r="M9" s="157"/>
      <c r="N9" s="157"/>
      <c r="O9" s="157"/>
      <c r="P9" s="158"/>
      <c r="Q9" s="158"/>
      <c r="R9" s="158"/>
      <c r="S9" s="159"/>
      <c r="T9" s="165"/>
      <c r="U9" s="161"/>
      <c r="V9" s="161"/>
      <c r="W9" s="162"/>
      <c r="X9" s="157"/>
      <c r="Y9" s="157"/>
      <c r="Z9" s="157"/>
      <c r="AA9" s="163"/>
      <c r="AB9" s="157"/>
      <c r="AC9" s="157"/>
    </row>
    <row r="10">
      <c r="A10" s="88" t="s">
        <v>1</v>
      </c>
      <c r="B10" s="166" t="s">
        <v>2</v>
      </c>
      <c r="C10" s="167" t="s">
        <v>3</v>
      </c>
      <c r="D10" s="167" t="s">
        <v>4</v>
      </c>
      <c r="E10" s="167" t="s">
        <v>5</v>
      </c>
      <c r="F10" s="168" t="s">
        <v>6</v>
      </c>
      <c r="G10" s="169" t="s">
        <v>7</v>
      </c>
      <c r="H10" s="170" t="s">
        <v>8</v>
      </c>
      <c r="I10" s="171" t="s">
        <v>9</v>
      </c>
      <c r="J10" s="172" t="s">
        <v>10</v>
      </c>
      <c r="K10" s="173" t="s">
        <v>11</v>
      </c>
      <c r="L10" s="174" t="s">
        <v>12</v>
      </c>
      <c r="M10" s="174" t="s">
        <v>13</v>
      </c>
      <c r="N10" s="174" t="s">
        <v>14</v>
      </c>
      <c r="O10" s="174" t="s">
        <v>15</v>
      </c>
      <c r="P10" s="175" t="s">
        <v>16</v>
      </c>
      <c r="Q10" s="175" t="s">
        <v>17</v>
      </c>
      <c r="R10" s="175" t="s">
        <v>18</v>
      </c>
      <c r="S10" s="176" t="s">
        <v>19</v>
      </c>
      <c r="T10" s="177" t="s">
        <v>20</v>
      </c>
      <c r="U10" s="178" t="s">
        <v>21</v>
      </c>
      <c r="V10" s="179" t="s">
        <v>22</v>
      </c>
      <c r="W10" s="96" t="s">
        <v>23</v>
      </c>
      <c r="X10" s="94" t="s">
        <v>24</v>
      </c>
      <c r="Y10" s="94" t="s">
        <v>25</v>
      </c>
      <c r="Z10" s="94" t="s">
        <v>26</v>
      </c>
      <c r="AA10" s="97" t="s">
        <v>27</v>
      </c>
      <c r="AB10" s="94" t="s">
        <v>28</v>
      </c>
      <c r="AC10" s="94" t="s">
        <v>29</v>
      </c>
    </row>
    <row r="11">
      <c r="A11" s="98" t="s">
        <v>30</v>
      </c>
      <c r="B11" s="99" t="s">
        <v>31</v>
      </c>
      <c r="C11" s="100" t="s">
        <v>32</v>
      </c>
      <c r="D11" s="101" t="s">
        <v>33</v>
      </c>
      <c r="E11" s="100" t="s">
        <v>34</v>
      </c>
      <c r="F11" s="102" t="s">
        <v>34</v>
      </c>
      <c r="G11" s="103" t="s">
        <v>35</v>
      </c>
      <c r="H11" s="104" t="s">
        <v>35</v>
      </c>
      <c r="I11" s="105" t="s">
        <v>36</v>
      </c>
      <c r="J11" s="106" t="s">
        <v>36</v>
      </c>
      <c r="K11" s="156"/>
      <c r="L11" s="180" t="s">
        <v>38</v>
      </c>
      <c r="M11" s="180" t="s">
        <v>38</v>
      </c>
      <c r="N11" s="180" t="s">
        <v>39</v>
      </c>
      <c r="O11" s="180" t="s">
        <v>38</v>
      </c>
      <c r="P11" s="181" t="s">
        <v>40</v>
      </c>
      <c r="Q11" s="181" t="s">
        <v>40</v>
      </c>
      <c r="R11" s="181" t="s">
        <v>40</v>
      </c>
      <c r="S11" s="181" t="s">
        <v>41</v>
      </c>
      <c r="T11" s="182" t="s">
        <v>42</v>
      </c>
      <c r="U11" s="180" t="s">
        <v>43</v>
      </c>
      <c r="V11" s="108" t="s">
        <v>38</v>
      </c>
      <c r="W11" s="111" t="s">
        <v>30</v>
      </c>
      <c r="X11" s="108" t="s">
        <v>38</v>
      </c>
      <c r="Y11" s="108" t="s">
        <v>30</v>
      </c>
      <c r="Z11" s="108" t="s">
        <v>36</v>
      </c>
      <c r="AA11" s="112" t="s">
        <v>30</v>
      </c>
      <c r="AB11" s="108" t="s">
        <v>30</v>
      </c>
      <c r="AC11" s="108" t="s">
        <v>30</v>
      </c>
    </row>
    <row r="12">
      <c r="A12" s="113">
        <v>10.0</v>
      </c>
      <c r="B12" s="114">
        <f t="shared" ref="B12:B15" si="15">K12*A12*U12/(L12)</f>
        <v>0.004084070449</v>
      </c>
      <c r="C12" s="115">
        <f t="shared" ref="C12:C15" si="16">2*PI()*T12*A12*B12*N12</f>
        <v>529.3345189</v>
      </c>
      <c r="D12" s="116">
        <f t="shared" ref="D12:D15" si="17">(B12*AA12)^2/(4*K12)*AB12*AC12</f>
        <v>9.718272172</v>
      </c>
      <c r="E12" s="115">
        <f t="shared" ref="E12:E15" si="18">D12*N12</f>
        <v>485.9136086</v>
      </c>
      <c r="F12" s="117">
        <f t="shared" ref="F12:F15" si="19">((B12*AA12)^2*N12/(2*K12))*S12*AC12</f>
        <v>3.92600356</v>
      </c>
      <c r="G12" s="118">
        <f t="shared" ref="G12:G15" si="20">F12*Q12</f>
        <v>392.600356</v>
      </c>
      <c r="H12" s="119">
        <f t="shared" ref="H12:H15" si="21">B12*U12*V12*W12*X12*T12*AB12*AC12</f>
        <v>508.2121374</v>
      </c>
      <c r="I12" s="120">
        <f>((G12+H12+Z12)/1000000)/Y12</f>
        <v>0.01638022715</v>
      </c>
      <c r="J12" s="121">
        <f t="shared" ref="J12:J15" si="22">(I12+(H12+F12*Q12)/1000000)*2</f>
        <v>0.03456207929</v>
      </c>
      <c r="K12" s="122">
        <v>1.2566370612699998E-6</v>
      </c>
      <c r="L12" s="123">
        <v>0.5</v>
      </c>
      <c r="M12" s="123">
        <v>100.0</v>
      </c>
      <c r="N12" s="123">
        <f t="shared" ref="N12:N15" si="23">L12*M12</f>
        <v>50</v>
      </c>
      <c r="O12" s="123">
        <v>0.2</v>
      </c>
      <c r="P12" s="124">
        <v>8151.2</v>
      </c>
      <c r="Q12" s="124">
        <v>100.0</v>
      </c>
      <c r="R12" s="124">
        <f t="shared" ref="R12:R15" si="24">P12+Q12</f>
        <v>8251.2</v>
      </c>
      <c r="S12" s="125">
        <f t="shared" ref="S12:S15" si="25">Q12/R12</f>
        <v>0.01211944929</v>
      </c>
      <c r="T12" s="126">
        <f t="shared" ref="T12:T15" si="26">R12/(2*M12)</f>
        <v>41.256</v>
      </c>
      <c r="U12" s="127">
        <v>162.5</v>
      </c>
      <c r="V12" s="127">
        <v>0.003</v>
      </c>
      <c r="W12" s="128">
        <v>0.34202</v>
      </c>
      <c r="X12" s="123">
        <f t="shared" ref="X12:X15" si="27">2*(L12+M12)*A12</f>
        <v>2010</v>
      </c>
      <c r="Y12" s="123">
        <v>0.055</v>
      </c>
      <c r="Z12" s="123">
        <v>0.1</v>
      </c>
      <c r="AA12" s="129">
        <f t="shared" ref="AA12:AA15" si="28">(2/PI())*atan(L12/(2*O12))</f>
        <v>0.570446575</v>
      </c>
      <c r="AB12" s="123">
        <v>3.0</v>
      </c>
      <c r="AC12" s="123">
        <v>3.0</v>
      </c>
    </row>
    <row r="13">
      <c r="A13" s="130">
        <v>98.0</v>
      </c>
      <c r="B13" s="131">
        <f t="shared" si="15"/>
        <v>0.0400238904</v>
      </c>
      <c r="C13" s="132">
        <f t="shared" si="16"/>
        <v>50837.28719</v>
      </c>
      <c r="D13" s="133">
        <f t="shared" si="17"/>
        <v>933.3428594</v>
      </c>
      <c r="E13" s="132">
        <f t="shared" si="18"/>
        <v>46667.14297</v>
      </c>
      <c r="F13" s="134">
        <f t="shared" si="19"/>
        <v>377.0533819</v>
      </c>
      <c r="G13" s="135">
        <f t="shared" si="20"/>
        <v>37705.33819</v>
      </c>
      <c r="H13" s="136">
        <f t="shared" si="21"/>
        <v>48808.69367</v>
      </c>
      <c r="I13" s="35">
        <f>((G13+H13+Z12)/1000000)/Y13</f>
        <v>1.572984216</v>
      </c>
      <c r="J13" s="137">
        <f t="shared" si="22"/>
        <v>3.318996495</v>
      </c>
      <c r="K13" s="122">
        <v>1.2566370612699998E-6</v>
      </c>
      <c r="L13" s="123">
        <v>0.5</v>
      </c>
      <c r="M13" s="123">
        <v>100.0</v>
      </c>
      <c r="N13" s="123">
        <f t="shared" si="23"/>
        <v>50</v>
      </c>
      <c r="O13" s="123">
        <v>0.2</v>
      </c>
      <c r="P13" s="124">
        <v>8151.2</v>
      </c>
      <c r="Q13" s="124">
        <v>100.0</v>
      </c>
      <c r="R13" s="124">
        <f t="shared" si="24"/>
        <v>8251.2</v>
      </c>
      <c r="S13" s="125">
        <f t="shared" si="25"/>
        <v>0.01211944929</v>
      </c>
      <c r="T13" s="126">
        <f t="shared" si="26"/>
        <v>41.256</v>
      </c>
      <c r="U13" s="127">
        <v>162.5</v>
      </c>
      <c r="V13" s="127">
        <v>0.003</v>
      </c>
      <c r="W13" s="128">
        <v>0.34202</v>
      </c>
      <c r="X13" s="123">
        <f t="shared" si="27"/>
        <v>19698</v>
      </c>
      <c r="Y13" s="123">
        <v>0.055</v>
      </c>
      <c r="Z13" s="123">
        <v>0.1</v>
      </c>
      <c r="AA13" s="129">
        <f t="shared" si="28"/>
        <v>0.570446575</v>
      </c>
      <c r="AB13" s="123">
        <v>3.0</v>
      </c>
      <c r="AC13" s="123">
        <v>3.0</v>
      </c>
    </row>
    <row r="14">
      <c r="A14" s="138">
        <v>138.0</v>
      </c>
      <c r="B14" s="139">
        <f t="shared" si="15"/>
        <v>0.0563601722</v>
      </c>
      <c r="C14" s="140">
        <f t="shared" si="16"/>
        <v>100806.4658</v>
      </c>
      <c r="D14" s="141">
        <f t="shared" si="17"/>
        <v>1850.747752</v>
      </c>
      <c r="E14" s="140">
        <f t="shared" si="18"/>
        <v>92537.38762</v>
      </c>
      <c r="F14" s="142">
        <f t="shared" si="19"/>
        <v>747.668118</v>
      </c>
      <c r="G14" s="143">
        <f t="shared" si="20"/>
        <v>74766.8118</v>
      </c>
      <c r="H14" s="144">
        <f t="shared" si="21"/>
        <v>96783.91944</v>
      </c>
      <c r="I14" s="145">
        <f>((G14+H14+Z12)/1000000)/Y14</f>
        <v>3.119106023</v>
      </c>
      <c r="J14" s="146">
        <f t="shared" si="22"/>
        <v>6.581313508</v>
      </c>
      <c r="K14" s="122">
        <v>1.2566370612699998E-6</v>
      </c>
      <c r="L14" s="123">
        <v>0.5</v>
      </c>
      <c r="M14" s="123">
        <v>100.0</v>
      </c>
      <c r="N14" s="123">
        <f t="shared" si="23"/>
        <v>50</v>
      </c>
      <c r="O14" s="123">
        <v>0.2</v>
      </c>
      <c r="P14" s="124">
        <v>8151.2</v>
      </c>
      <c r="Q14" s="124">
        <v>100.0</v>
      </c>
      <c r="R14" s="124">
        <f t="shared" si="24"/>
        <v>8251.2</v>
      </c>
      <c r="S14" s="125">
        <f t="shared" si="25"/>
        <v>0.01211944929</v>
      </c>
      <c r="T14" s="126">
        <f t="shared" si="26"/>
        <v>41.256</v>
      </c>
      <c r="U14" s="127">
        <v>162.5</v>
      </c>
      <c r="V14" s="127">
        <v>0.003</v>
      </c>
      <c r="W14" s="128">
        <v>0.34202</v>
      </c>
      <c r="X14" s="123">
        <f t="shared" si="27"/>
        <v>27738</v>
      </c>
      <c r="Y14" s="123">
        <v>0.055</v>
      </c>
      <c r="Z14" s="123">
        <v>0.1</v>
      </c>
      <c r="AA14" s="129">
        <f t="shared" si="28"/>
        <v>0.570446575</v>
      </c>
      <c r="AB14" s="123">
        <v>3.0</v>
      </c>
      <c r="AC14" s="123">
        <v>3.0</v>
      </c>
    </row>
    <row r="15">
      <c r="A15" s="147">
        <v>195.0</v>
      </c>
      <c r="B15" s="148">
        <f t="shared" si="15"/>
        <v>0.07963937376</v>
      </c>
      <c r="C15" s="149">
        <f t="shared" si="16"/>
        <v>201279.4508</v>
      </c>
      <c r="D15" s="150">
        <f t="shared" si="17"/>
        <v>3695.372993</v>
      </c>
      <c r="E15" s="149">
        <f t="shared" si="18"/>
        <v>184768.6497</v>
      </c>
      <c r="F15" s="151">
        <f t="shared" si="19"/>
        <v>1492.862854</v>
      </c>
      <c r="G15" s="152">
        <f t="shared" si="20"/>
        <v>149286.2854</v>
      </c>
      <c r="H15" s="153">
        <f t="shared" si="21"/>
        <v>193247.6652</v>
      </c>
      <c r="I15" s="64">
        <f>((G15+H15+Z12)/1000000)/Y15</f>
        <v>6.227891829</v>
      </c>
      <c r="J15" s="154">
        <f t="shared" si="22"/>
        <v>13.14085156</v>
      </c>
      <c r="K15" s="183">
        <v>1.2566370612699998E-6</v>
      </c>
      <c r="L15" s="123">
        <v>0.5</v>
      </c>
      <c r="M15" s="123">
        <v>100.0</v>
      </c>
      <c r="N15" s="123">
        <f t="shared" si="23"/>
        <v>50</v>
      </c>
      <c r="O15" s="123">
        <v>0.2</v>
      </c>
      <c r="P15" s="124">
        <v>8151.2</v>
      </c>
      <c r="Q15" s="124">
        <v>100.0</v>
      </c>
      <c r="R15" s="124">
        <f t="shared" si="24"/>
        <v>8251.2</v>
      </c>
      <c r="S15" s="125">
        <f t="shared" si="25"/>
        <v>0.01211944929</v>
      </c>
      <c r="T15" s="126">
        <f t="shared" si="26"/>
        <v>41.256</v>
      </c>
      <c r="U15" s="127">
        <v>162.5</v>
      </c>
      <c r="V15" s="127">
        <v>0.003</v>
      </c>
      <c r="W15" s="128">
        <v>0.34202</v>
      </c>
      <c r="X15" s="123">
        <f t="shared" si="27"/>
        <v>39195</v>
      </c>
      <c r="Y15" s="123">
        <v>0.055</v>
      </c>
      <c r="Z15" s="123">
        <v>0.1</v>
      </c>
      <c r="AA15" s="129">
        <f t="shared" si="28"/>
        <v>0.570446575</v>
      </c>
      <c r="AB15" s="123">
        <v>3.0</v>
      </c>
      <c r="AC15" s="123">
        <v>3.0</v>
      </c>
    </row>
    <row r="16">
      <c r="A16" s="184"/>
      <c r="K16" s="156"/>
      <c r="L16" s="157"/>
      <c r="M16" s="157"/>
      <c r="N16" s="157"/>
      <c r="O16" s="157"/>
      <c r="P16" s="158"/>
      <c r="Q16" s="158"/>
      <c r="R16" s="158"/>
      <c r="S16" s="159"/>
      <c r="T16" s="160"/>
      <c r="U16" s="161"/>
      <c r="V16" s="161"/>
      <c r="W16" s="162"/>
      <c r="X16" s="157"/>
      <c r="Y16" s="157"/>
      <c r="Z16" s="157"/>
      <c r="AA16" s="163"/>
      <c r="AB16" s="157"/>
      <c r="AC16" s="157"/>
    </row>
    <row r="17">
      <c r="A17" s="83" t="s">
        <v>54</v>
      </c>
      <c r="B17" s="2"/>
      <c r="C17" s="2"/>
      <c r="D17" s="2"/>
      <c r="E17" s="2"/>
      <c r="F17" s="2"/>
      <c r="G17" s="2"/>
      <c r="H17" s="2"/>
      <c r="I17" s="2"/>
      <c r="J17" s="3"/>
      <c r="K17" s="157"/>
      <c r="L17" s="157"/>
      <c r="M17" s="157"/>
      <c r="N17" s="157"/>
      <c r="O17" s="157"/>
      <c r="P17" s="157"/>
      <c r="Q17" s="158"/>
      <c r="R17" s="158"/>
      <c r="S17" s="159"/>
      <c r="T17" s="165"/>
      <c r="U17" s="157"/>
      <c r="V17" s="157"/>
      <c r="W17" s="162"/>
      <c r="X17" s="157"/>
      <c r="Y17" s="157"/>
      <c r="Z17" s="157"/>
      <c r="AA17" s="163"/>
      <c r="AB17" s="157"/>
      <c r="AC17" s="157"/>
    </row>
    <row r="18">
      <c r="A18" s="88" t="s">
        <v>1</v>
      </c>
      <c r="B18" s="89" t="s">
        <v>2</v>
      </c>
      <c r="C18" s="90" t="s">
        <v>3</v>
      </c>
      <c r="D18" s="90" t="s">
        <v>4</v>
      </c>
      <c r="E18" s="90" t="s">
        <v>5</v>
      </c>
      <c r="F18" s="90" t="s">
        <v>6</v>
      </c>
      <c r="G18" s="89" t="s">
        <v>7</v>
      </c>
      <c r="H18" s="91" t="s">
        <v>8</v>
      </c>
      <c r="I18" s="92" t="s">
        <v>9</v>
      </c>
      <c r="J18" s="93" t="s">
        <v>10</v>
      </c>
      <c r="K18" s="174" t="s">
        <v>11</v>
      </c>
      <c r="L18" s="174" t="s">
        <v>12</v>
      </c>
      <c r="M18" s="174" t="s">
        <v>13</v>
      </c>
      <c r="N18" s="174" t="s">
        <v>14</v>
      </c>
      <c r="O18" s="174" t="s">
        <v>15</v>
      </c>
      <c r="P18" s="174" t="s">
        <v>16</v>
      </c>
      <c r="Q18" s="175" t="s">
        <v>17</v>
      </c>
      <c r="R18" s="175" t="s">
        <v>18</v>
      </c>
      <c r="S18" s="176" t="s">
        <v>19</v>
      </c>
      <c r="T18" s="174" t="s">
        <v>20</v>
      </c>
      <c r="U18" s="174" t="s">
        <v>21</v>
      </c>
      <c r="V18" s="94" t="s">
        <v>22</v>
      </c>
      <c r="W18" s="96" t="s">
        <v>23</v>
      </c>
      <c r="X18" s="94" t="s">
        <v>24</v>
      </c>
      <c r="Y18" s="94" t="s">
        <v>25</v>
      </c>
      <c r="Z18" s="94" t="s">
        <v>26</v>
      </c>
      <c r="AA18" s="97" t="s">
        <v>27</v>
      </c>
      <c r="AB18" s="94" t="s">
        <v>28</v>
      </c>
      <c r="AC18" s="94" t="s">
        <v>29</v>
      </c>
    </row>
    <row r="19">
      <c r="A19" s="98" t="s">
        <v>30</v>
      </c>
      <c r="B19" s="99" t="s">
        <v>31</v>
      </c>
      <c r="C19" s="100" t="s">
        <v>32</v>
      </c>
      <c r="D19" s="101" t="s">
        <v>33</v>
      </c>
      <c r="E19" s="100" t="s">
        <v>34</v>
      </c>
      <c r="F19" s="102" t="s">
        <v>34</v>
      </c>
      <c r="G19" s="103" t="s">
        <v>35</v>
      </c>
      <c r="H19" s="104" t="s">
        <v>35</v>
      </c>
      <c r="I19" s="105" t="s">
        <v>36</v>
      </c>
      <c r="J19" s="106" t="s">
        <v>36</v>
      </c>
      <c r="K19" s="156"/>
      <c r="L19" s="180" t="s">
        <v>38</v>
      </c>
      <c r="M19" s="180" t="s">
        <v>38</v>
      </c>
      <c r="N19" s="180" t="s">
        <v>39</v>
      </c>
      <c r="O19" s="180" t="s">
        <v>38</v>
      </c>
      <c r="P19" s="181" t="s">
        <v>40</v>
      </c>
      <c r="Q19" s="181" t="s">
        <v>40</v>
      </c>
      <c r="R19" s="181" t="s">
        <v>40</v>
      </c>
      <c r="S19" s="181" t="s">
        <v>41</v>
      </c>
      <c r="T19" s="182" t="s">
        <v>42</v>
      </c>
      <c r="U19" s="180" t="s">
        <v>43</v>
      </c>
      <c r="V19" s="108" t="s">
        <v>38</v>
      </c>
      <c r="W19" s="111" t="s">
        <v>30</v>
      </c>
      <c r="X19" s="108" t="s">
        <v>38</v>
      </c>
      <c r="Y19" s="108" t="s">
        <v>30</v>
      </c>
      <c r="Z19" s="108" t="s">
        <v>36</v>
      </c>
      <c r="AA19" s="112" t="s">
        <v>30</v>
      </c>
      <c r="AB19" s="108" t="s">
        <v>30</v>
      </c>
      <c r="AC19" s="108" t="s">
        <v>30</v>
      </c>
    </row>
    <row r="20">
      <c r="A20" s="185">
        <v>10.0</v>
      </c>
      <c r="B20" s="186">
        <f t="shared" ref="B20:B23" si="29">K20*A20*U20/(L20)</f>
        <v>0.002042035225</v>
      </c>
      <c r="C20" s="187">
        <f t="shared" ref="C20:C23" si="30">2*PI()*T20*A20*B20*N20</f>
        <v>529.3345189</v>
      </c>
      <c r="D20" s="188">
        <f t="shared" ref="D20:D23" si="31">(B20*AA20)^2/(4*K20)*AB20*AC20</f>
        <v>4.287112615</v>
      </c>
      <c r="E20" s="187">
        <f t="shared" ref="E20:E23" si="32">D20*N20</f>
        <v>428.7112615</v>
      </c>
      <c r="F20" s="189">
        <f t="shared" ref="F20:F23" si="33">((B20*AA20)^2*N20/(2*K20))*S20*AC20</f>
        <v>3.463829597</v>
      </c>
      <c r="G20" s="190">
        <f t="shared" ref="G20:G23" si="34">F20*Q20</f>
        <v>346.3829597</v>
      </c>
      <c r="H20" s="191">
        <f t="shared" ref="H20:H23" si="35">B20*U20*V20*W20*X20*T20*AB20*AC20</f>
        <v>255.370278</v>
      </c>
      <c r="I20" s="192">
        <f>((G20+H20+Z20)/1000000)/Y20</f>
        <v>0.01094278614</v>
      </c>
      <c r="J20" s="121">
        <f t="shared" ref="J20:J23" si="36">(I20+(H20+F20*Q20)/1000000)*2</f>
        <v>0.02308907875</v>
      </c>
      <c r="K20" s="122">
        <v>1.2566370612699998E-6</v>
      </c>
      <c r="L20" s="123">
        <v>1.0</v>
      </c>
      <c r="M20" s="127">
        <v>100.0</v>
      </c>
      <c r="N20" s="123">
        <f t="shared" ref="N20:N23" si="37">L20*M20</f>
        <v>100</v>
      </c>
      <c r="O20" s="123">
        <v>0.2</v>
      </c>
      <c r="P20" s="124">
        <v>8151.2</v>
      </c>
      <c r="Q20" s="124">
        <v>100.0</v>
      </c>
      <c r="R20" s="124">
        <f t="shared" ref="R20:R23" si="38">P20+Q20</f>
        <v>8251.2</v>
      </c>
      <c r="S20" s="125">
        <f t="shared" ref="S20:S23" si="39">Q20/R20</f>
        <v>0.01211944929</v>
      </c>
      <c r="T20" s="126">
        <f t="shared" ref="T20:T23" si="40">R20/(2*M20)</f>
        <v>41.256</v>
      </c>
      <c r="U20" s="127">
        <v>162.5</v>
      </c>
      <c r="V20" s="127">
        <v>0.003</v>
      </c>
      <c r="W20" s="128">
        <v>0.34202</v>
      </c>
      <c r="X20" s="123">
        <f t="shared" ref="X20:X23" si="41">2*(L20+M20)*A20</f>
        <v>2020</v>
      </c>
      <c r="Y20" s="123">
        <v>0.055</v>
      </c>
      <c r="Z20" s="123">
        <v>0.1</v>
      </c>
      <c r="AA20" s="129">
        <f t="shared" ref="AA20:AA23" si="42">(2/PI())*atan(L20/(2*O20))</f>
        <v>0.7577621168</v>
      </c>
      <c r="AB20" s="123">
        <v>3.0</v>
      </c>
      <c r="AC20" s="123">
        <v>3.0</v>
      </c>
    </row>
    <row r="21">
      <c r="A21" s="193">
        <v>98.0</v>
      </c>
      <c r="B21" s="194">
        <f t="shared" si="29"/>
        <v>0.0200119452</v>
      </c>
      <c r="C21" s="195">
        <f t="shared" si="30"/>
        <v>50837.28719</v>
      </c>
      <c r="D21" s="196">
        <f t="shared" si="31"/>
        <v>411.7342956</v>
      </c>
      <c r="E21" s="195">
        <f t="shared" si="32"/>
        <v>41173.42956</v>
      </c>
      <c r="F21" s="117">
        <f t="shared" si="33"/>
        <v>332.6661945</v>
      </c>
      <c r="G21" s="197">
        <f t="shared" si="34"/>
        <v>33266.61945</v>
      </c>
      <c r="H21" s="198">
        <f t="shared" si="35"/>
        <v>24525.7615</v>
      </c>
      <c r="I21" s="120">
        <f>((G21+H21+Z20)/1000000)/Y21</f>
        <v>1.050772381</v>
      </c>
      <c r="J21" s="137">
        <f t="shared" si="36"/>
        <v>2.217129524</v>
      </c>
      <c r="K21" s="122">
        <v>1.2566370612699998E-6</v>
      </c>
      <c r="L21" s="123">
        <v>1.0</v>
      </c>
      <c r="M21" s="127">
        <v>100.0</v>
      </c>
      <c r="N21" s="123">
        <f t="shared" si="37"/>
        <v>100</v>
      </c>
      <c r="O21" s="123">
        <v>0.2</v>
      </c>
      <c r="P21" s="124">
        <v>8151.2</v>
      </c>
      <c r="Q21" s="124">
        <v>100.0</v>
      </c>
      <c r="R21" s="124">
        <f t="shared" si="38"/>
        <v>8251.2</v>
      </c>
      <c r="S21" s="125">
        <f t="shared" si="39"/>
        <v>0.01211944929</v>
      </c>
      <c r="T21" s="126">
        <f t="shared" si="40"/>
        <v>41.256</v>
      </c>
      <c r="U21" s="127">
        <v>162.5</v>
      </c>
      <c r="V21" s="127">
        <v>0.003</v>
      </c>
      <c r="W21" s="128">
        <v>0.34202</v>
      </c>
      <c r="X21" s="123">
        <f t="shared" si="41"/>
        <v>19796</v>
      </c>
      <c r="Y21" s="123">
        <v>0.055</v>
      </c>
      <c r="Z21" s="123">
        <v>0.1</v>
      </c>
      <c r="AA21" s="129">
        <f t="shared" si="42"/>
        <v>0.7577621168</v>
      </c>
      <c r="AB21" s="123">
        <v>3.0</v>
      </c>
      <c r="AC21" s="123">
        <v>3.0</v>
      </c>
    </row>
    <row r="22">
      <c r="A22" s="199">
        <v>138.0</v>
      </c>
      <c r="B22" s="200">
        <f t="shared" si="29"/>
        <v>0.0281800861</v>
      </c>
      <c r="C22" s="201">
        <f t="shared" si="30"/>
        <v>100806.4658</v>
      </c>
      <c r="D22" s="202">
        <f t="shared" si="31"/>
        <v>816.4377265</v>
      </c>
      <c r="E22" s="201">
        <f t="shared" si="32"/>
        <v>81643.77265</v>
      </c>
      <c r="F22" s="203">
        <f t="shared" si="33"/>
        <v>659.6517084</v>
      </c>
      <c r="G22" s="204">
        <f t="shared" si="34"/>
        <v>65965.17084</v>
      </c>
      <c r="H22" s="205">
        <f t="shared" si="35"/>
        <v>48632.71574</v>
      </c>
      <c r="I22" s="55">
        <f>((G22+H22+Z20)/1000000)/Y22</f>
        <v>2.083599756</v>
      </c>
      <c r="J22" s="146">
        <f t="shared" si="36"/>
        <v>4.396395285</v>
      </c>
      <c r="K22" s="122">
        <v>1.2566370612699998E-6</v>
      </c>
      <c r="L22" s="123">
        <v>1.0</v>
      </c>
      <c r="M22" s="127">
        <v>100.0</v>
      </c>
      <c r="N22" s="123">
        <f t="shared" si="37"/>
        <v>100</v>
      </c>
      <c r="O22" s="123">
        <v>0.2</v>
      </c>
      <c r="P22" s="124">
        <v>8151.2</v>
      </c>
      <c r="Q22" s="124">
        <v>100.0</v>
      </c>
      <c r="R22" s="124">
        <f t="shared" si="38"/>
        <v>8251.2</v>
      </c>
      <c r="S22" s="125">
        <f t="shared" si="39"/>
        <v>0.01211944929</v>
      </c>
      <c r="T22" s="126">
        <f t="shared" si="40"/>
        <v>41.256</v>
      </c>
      <c r="U22" s="127">
        <v>162.5</v>
      </c>
      <c r="V22" s="127">
        <v>0.003</v>
      </c>
      <c r="W22" s="128">
        <v>0.34202</v>
      </c>
      <c r="X22" s="123">
        <f t="shared" si="41"/>
        <v>27876</v>
      </c>
      <c r="Y22" s="123">
        <v>0.055</v>
      </c>
      <c r="Z22" s="123">
        <v>0.1</v>
      </c>
      <c r="AA22" s="129">
        <f t="shared" si="42"/>
        <v>0.7577621168</v>
      </c>
      <c r="AB22" s="123">
        <v>3.0</v>
      </c>
      <c r="AC22" s="123">
        <v>3.0</v>
      </c>
    </row>
    <row r="23">
      <c r="A23" s="206">
        <v>195.0</v>
      </c>
      <c r="B23" s="207">
        <f t="shared" si="29"/>
        <v>0.03981968688</v>
      </c>
      <c r="C23" s="208">
        <f t="shared" si="30"/>
        <v>201279.4508</v>
      </c>
      <c r="D23" s="209">
        <f t="shared" si="31"/>
        <v>1630.174572</v>
      </c>
      <c r="E23" s="208">
        <f t="shared" si="32"/>
        <v>163017.4572</v>
      </c>
      <c r="F23" s="210">
        <f t="shared" si="33"/>
        <v>1317.121204</v>
      </c>
      <c r="G23" s="211">
        <f t="shared" si="34"/>
        <v>131712.1204</v>
      </c>
      <c r="H23" s="212">
        <f t="shared" si="35"/>
        <v>97104.54821</v>
      </c>
      <c r="I23" s="213">
        <f>((G23+H23+Z20)/1000000)/Y23</f>
        <v>4.160304884</v>
      </c>
      <c r="J23" s="154">
        <f t="shared" si="36"/>
        <v>8.778243106</v>
      </c>
      <c r="K23" s="122">
        <v>1.2566370612699998E-6</v>
      </c>
      <c r="L23" s="123">
        <v>1.0</v>
      </c>
      <c r="M23" s="127">
        <v>100.0</v>
      </c>
      <c r="N23" s="123">
        <f t="shared" si="37"/>
        <v>100</v>
      </c>
      <c r="O23" s="123">
        <v>0.2</v>
      </c>
      <c r="P23" s="124">
        <v>8151.2</v>
      </c>
      <c r="Q23" s="124">
        <v>100.0</v>
      </c>
      <c r="R23" s="124">
        <f t="shared" si="38"/>
        <v>8251.2</v>
      </c>
      <c r="S23" s="125">
        <f t="shared" si="39"/>
        <v>0.01211944929</v>
      </c>
      <c r="T23" s="126">
        <f t="shared" si="40"/>
        <v>41.256</v>
      </c>
      <c r="U23" s="127">
        <v>162.5</v>
      </c>
      <c r="V23" s="127">
        <v>0.003</v>
      </c>
      <c r="W23" s="128">
        <v>0.34202</v>
      </c>
      <c r="X23" s="123">
        <f t="shared" si="41"/>
        <v>39390</v>
      </c>
      <c r="Y23" s="123">
        <v>0.055</v>
      </c>
      <c r="Z23" s="123">
        <v>0.1</v>
      </c>
      <c r="AA23" s="129">
        <f t="shared" si="42"/>
        <v>0.7577621168</v>
      </c>
      <c r="AB23" s="123">
        <v>3.0</v>
      </c>
      <c r="AC23" s="123">
        <v>3.0</v>
      </c>
    </row>
    <row r="24">
      <c r="A24" s="214"/>
      <c r="K24" s="156"/>
      <c r="L24" s="157"/>
      <c r="M24" s="157"/>
      <c r="N24" s="157"/>
      <c r="O24" s="157"/>
      <c r="P24" s="158"/>
      <c r="Q24" s="158"/>
      <c r="R24" s="158"/>
      <c r="S24" s="159"/>
      <c r="T24" s="160"/>
      <c r="U24" s="161"/>
      <c r="V24" s="161"/>
      <c r="W24" s="162"/>
      <c r="X24" s="157"/>
      <c r="Y24" s="157"/>
      <c r="Z24" s="157"/>
      <c r="AA24" s="163"/>
      <c r="AB24" s="157"/>
      <c r="AC24" s="157"/>
    </row>
    <row r="25">
      <c r="A25" s="83" t="s">
        <v>55</v>
      </c>
      <c r="B25" s="215"/>
      <c r="C25" s="215"/>
      <c r="D25" s="215"/>
      <c r="E25" s="215"/>
      <c r="F25" s="215"/>
      <c r="G25" s="215"/>
      <c r="H25" s="215"/>
      <c r="I25" s="215"/>
      <c r="J25" s="3"/>
      <c r="K25" s="156"/>
      <c r="L25" s="157"/>
      <c r="M25" s="157"/>
      <c r="N25" s="157"/>
      <c r="O25" s="157"/>
      <c r="P25" s="158"/>
      <c r="Q25" s="158"/>
      <c r="R25" s="158"/>
      <c r="S25" s="159"/>
      <c r="T25" s="165"/>
      <c r="U25" s="161"/>
      <c r="V25" s="161"/>
      <c r="W25" s="162"/>
      <c r="X25" s="157"/>
      <c r="Y25" s="157"/>
      <c r="Z25" s="157"/>
      <c r="AA25" s="163"/>
      <c r="AB25" s="157"/>
      <c r="AC25" s="157"/>
    </row>
    <row r="26">
      <c r="A26" s="88" t="s">
        <v>1</v>
      </c>
      <c r="B26" s="89" t="s">
        <v>2</v>
      </c>
      <c r="C26" s="90" t="s">
        <v>3</v>
      </c>
      <c r="D26" s="90" t="s">
        <v>4</v>
      </c>
      <c r="E26" s="90" t="s">
        <v>5</v>
      </c>
      <c r="F26" s="90" t="s">
        <v>6</v>
      </c>
      <c r="G26" s="89" t="s">
        <v>7</v>
      </c>
      <c r="H26" s="91" t="s">
        <v>8</v>
      </c>
      <c r="I26" s="92" t="s">
        <v>9</v>
      </c>
      <c r="J26" s="93" t="s">
        <v>10</v>
      </c>
      <c r="K26" s="174" t="s">
        <v>11</v>
      </c>
      <c r="L26" s="174" t="s">
        <v>12</v>
      </c>
      <c r="M26" s="174" t="s">
        <v>13</v>
      </c>
      <c r="N26" s="174" t="s">
        <v>14</v>
      </c>
      <c r="O26" s="174" t="s">
        <v>15</v>
      </c>
      <c r="P26" s="174" t="s">
        <v>16</v>
      </c>
      <c r="Q26" s="175" t="s">
        <v>17</v>
      </c>
      <c r="R26" s="175" t="s">
        <v>18</v>
      </c>
      <c r="S26" s="176" t="s">
        <v>19</v>
      </c>
      <c r="T26" s="177" t="s">
        <v>20</v>
      </c>
      <c r="U26" s="174" t="s">
        <v>21</v>
      </c>
      <c r="V26" s="94" t="s">
        <v>22</v>
      </c>
      <c r="W26" s="96" t="s">
        <v>23</v>
      </c>
      <c r="X26" s="94" t="s">
        <v>24</v>
      </c>
      <c r="Y26" s="94" t="s">
        <v>25</v>
      </c>
      <c r="Z26" s="94" t="s">
        <v>26</v>
      </c>
      <c r="AA26" s="97" t="s">
        <v>27</v>
      </c>
      <c r="AB26" s="94" t="s">
        <v>28</v>
      </c>
      <c r="AC26" s="94" t="s">
        <v>29</v>
      </c>
    </row>
    <row r="27">
      <c r="A27" s="98" t="s">
        <v>30</v>
      </c>
      <c r="B27" s="99" t="s">
        <v>31</v>
      </c>
      <c r="C27" s="100" t="s">
        <v>32</v>
      </c>
      <c r="D27" s="101" t="s">
        <v>33</v>
      </c>
      <c r="E27" s="100" t="s">
        <v>34</v>
      </c>
      <c r="F27" s="102" t="s">
        <v>34</v>
      </c>
      <c r="G27" s="103" t="s">
        <v>35</v>
      </c>
      <c r="H27" s="104" t="s">
        <v>35</v>
      </c>
      <c r="I27" s="105" t="s">
        <v>36</v>
      </c>
      <c r="J27" s="106" t="s">
        <v>36</v>
      </c>
      <c r="K27" s="156"/>
      <c r="L27" s="180" t="s">
        <v>38</v>
      </c>
      <c r="M27" s="180" t="s">
        <v>38</v>
      </c>
      <c r="N27" s="180" t="s">
        <v>39</v>
      </c>
      <c r="O27" s="180" t="s">
        <v>38</v>
      </c>
      <c r="P27" s="181" t="s">
        <v>40</v>
      </c>
      <c r="Q27" s="181" t="s">
        <v>40</v>
      </c>
      <c r="R27" s="181" t="s">
        <v>40</v>
      </c>
      <c r="S27" s="181" t="s">
        <v>41</v>
      </c>
      <c r="T27" s="182" t="s">
        <v>42</v>
      </c>
      <c r="U27" s="180" t="s">
        <v>43</v>
      </c>
      <c r="V27" s="108" t="s">
        <v>38</v>
      </c>
      <c r="W27" s="111" t="s">
        <v>30</v>
      </c>
      <c r="X27" s="108" t="s">
        <v>38</v>
      </c>
      <c r="Y27" s="108" t="s">
        <v>30</v>
      </c>
      <c r="Z27" s="108" t="s">
        <v>36</v>
      </c>
      <c r="AA27" s="112" t="s">
        <v>30</v>
      </c>
      <c r="AB27" s="108" t="s">
        <v>30</v>
      </c>
      <c r="AC27" s="108" t="s">
        <v>30</v>
      </c>
    </row>
    <row r="28">
      <c r="A28" s="185">
        <v>10.0</v>
      </c>
      <c r="B28" s="186">
        <f t="shared" ref="B28:B31" si="43">K28*A28*U28/(L28)</f>
        <v>0.001021017612</v>
      </c>
      <c r="C28" s="187">
        <f t="shared" ref="C28:C31" si="44">2*PI()*T28*A28*B28*N28</f>
        <v>529.3345189</v>
      </c>
      <c r="D28" s="188">
        <f t="shared" ref="D28:D31" si="45">(B28*AA28)^2/(4*K28)*AB28*AC28</f>
        <v>1.426901316</v>
      </c>
      <c r="E28" s="187">
        <f t="shared" ref="E28:E31" si="46">D28*N28</f>
        <v>285.3802632</v>
      </c>
      <c r="F28" s="189">
        <f t="shared" ref="F28:F31" si="47">((B28*AA28)^2*N28/(2*K28))*S28*AC28</f>
        <v>2.305767752</v>
      </c>
      <c r="G28" s="190">
        <f t="shared" ref="G28:G31" si="48">F28*Q28</f>
        <v>230.5767752</v>
      </c>
      <c r="H28" s="191">
        <f t="shared" ref="H28:H31" si="49">B28*U28*V28*W28*X28*T28*AB28*AC28</f>
        <v>128.9493483</v>
      </c>
      <c r="I28" s="192">
        <f>((G28+H28+Z28)/1000000)/Y28</f>
        <v>0.006538656792</v>
      </c>
      <c r="J28" s="121">
        <f t="shared" ref="J28:J31" si="50">(I28+(H28+F28*Q28)/1000000)*2</f>
        <v>0.01379636583</v>
      </c>
      <c r="K28" s="122">
        <v>1.2566370612699998E-6</v>
      </c>
      <c r="L28" s="123">
        <v>2.0</v>
      </c>
      <c r="M28" s="123">
        <v>100.0</v>
      </c>
      <c r="N28" s="123">
        <f t="shared" ref="N28:N31" si="51">L28*M28</f>
        <v>200</v>
      </c>
      <c r="O28" s="123">
        <v>0.2</v>
      </c>
      <c r="P28" s="124">
        <v>8151.2</v>
      </c>
      <c r="Q28" s="124">
        <v>100.0</v>
      </c>
      <c r="R28" s="124">
        <f t="shared" ref="R28:R31" si="52">P28+Q28</f>
        <v>8251.2</v>
      </c>
      <c r="S28" s="125">
        <f t="shared" ref="S28:S31" si="53">Q28/R28</f>
        <v>0.01211944929</v>
      </c>
      <c r="T28" s="126">
        <f t="shared" ref="T28:T31" si="54">R28/(2*M28)</f>
        <v>41.256</v>
      </c>
      <c r="U28" s="127">
        <v>162.5</v>
      </c>
      <c r="V28" s="127">
        <v>0.003</v>
      </c>
      <c r="W28" s="128">
        <v>0.34202</v>
      </c>
      <c r="X28" s="123">
        <f t="shared" ref="X28:X31" si="55">2*(L28+M28)*A28</f>
        <v>2040</v>
      </c>
      <c r="Y28" s="123">
        <v>0.055</v>
      </c>
      <c r="Z28" s="123">
        <v>0.1</v>
      </c>
      <c r="AA28" s="129">
        <f t="shared" ref="AA28:AA31" si="56">(2/PI())*atan(L28/(2*O28))</f>
        <v>0.8743340836</v>
      </c>
      <c r="AB28" s="123">
        <v>3.0</v>
      </c>
      <c r="AC28" s="123">
        <v>3.0</v>
      </c>
    </row>
    <row r="29">
      <c r="A29" s="216">
        <v>98.0</v>
      </c>
      <c r="B29" s="217">
        <f t="shared" si="43"/>
        <v>0.0100059726</v>
      </c>
      <c r="C29" s="218">
        <f t="shared" si="44"/>
        <v>50837.28719</v>
      </c>
      <c r="D29" s="45">
        <f t="shared" si="45"/>
        <v>137.0396024</v>
      </c>
      <c r="E29" s="219">
        <f t="shared" si="46"/>
        <v>27407.92048</v>
      </c>
      <c r="F29" s="189">
        <f t="shared" si="47"/>
        <v>221.4459349</v>
      </c>
      <c r="G29" s="220">
        <f t="shared" si="48"/>
        <v>22144.59349</v>
      </c>
      <c r="H29" s="221">
        <f t="shared" si="49"/>
        <v>12384.29541</v>
      </c>
      <c r="I29" s="192">
        <f>((G29+H29+Z28)/1000000)/Y29</f>
        <v>0.6277997983</v>
      </c>
      <c r="J29" s="137">
        <f t="shared" si="50"/>
        <v>1.324657374</v>
      </c>
      <c r="K29" s="122">
        <v>1.2566370612699998E-6</v>
      </c>
      <c r="L29" s="123">
        <v>2.0</v>
      </c>
      <c r="M29" s="123">
        <v>100.0</v>
      </c>
      <c r="N29" s="123">
        <f t="shared" si="51"/>
        <v>200</v>
      </c>
      <c r="O29" s="123">
        <v>0.2</v>
      </c>
      <c r="P29" s="124">
        <v>8151.2</v>
      </c>
      <c r="Q29" s="124">
        <v>100.0</v>
      </c>
      <c r="R29" s="124">
        <f t="shared" si="52"/>
        <v>8251.2</v>
      </c>
      <c r="S29" s="125">
        <f t="shared" si="53"/>
        <v>0.01211944929</v>
      </c>
      <c r="T29" s="126">
        <f t="shared" si="54"/>
        <v>41.256</v>
      </c>
      <c r="U29" s="127">
        <v>162.5</v>
      </c>
      <c r="V29" s="127">
        <v>0.003</v>
      </c>
      <c r="W29" s="128">
        <v>0.34202</v>
      </c>
      <c r="X29" s="123">
        <f t="shared" si="55"/>
        <v>19992</v>
      </c>
      <c r="Y29" s="123">
        <v>0.055</v>
      </c>
      <c r="Z29" s="123">
        <v>0.1</v>
      </c>
      <c r="AA29" s="129">
        <f t="shared" si="56"/>
        <v>0.8743340836</v>
      </c>
      <c r="AB29" s="123">
        <v>3.0</v>
      </c>
      <c r="AC29" s="123">
        <v>3.0</v>
      </c>
    </row>
    <row r="30">
      <c r="A30" s="222">
        <v>138.0</v>
      </c>
      <c r="B30" s="223">
        <f t="shared" si="43"/>
        <v>0.01409004305</v>
      </c>
      <c r="C30" s="224">
        <f t="shared" si="44"/>
        <v>100806.4658</v>
      </c>
      <c r="D30" s="225">
        <f t="shared" si="45"/>
        <v>271.7390866</v>
      </c>
      <c r="E30" s="226">
        <f t="shared" si="46"/>
        <v>54347.81732</v>
      </c>
      <c r="F30" s="227">
        <f t="shared" si="47"/>
        <v>439.1104108</v>
      </c>
      <c r="G30" s="228">
        <f t="shared" si="48"/>
        <v>43911.04108</v>
      </c>
      <c r="H30" s="229">
        <f t="shared" si="49"/>
        <v>24557.11389</v>
      </c>
      <c r="I30" s="230">
        <f>((G30+H30+Z28)/1000000)/Y30</f>
        <v>1.244877363</v>
      </c>
      <c r="J30" s="146">
        <f t="shared" si="50"/>
        <v>2.626691036</v>
      </c>
      <c r="K30" s="122">
        <v>1.2566370612699998E-6</v>
      </c>
      <c r="L30" s="123">
        <v>2.0</v>
      </c>
      <c r="M30" s="123">
        <v>100.0</v>
      </c>
      <c r="N30" s="123">
        <f t="shared" si="51"/>
        <v>200</v>
      </c>
      <c r="O30" s="123">
        <v>0.2</v>
      </c>
      <c r="P30" s="124">
        <v>8151.2</v>
      </c>
      <c r="Q30" s="124">
        <v>100.0</v>
      </c>
      <c r="R30" s="124">
        <f t="shared" si="52"/>
        <v>8251.2</v>
      </c>
      <c r="S30" s="125">
        <f t="shared" si="53"/>
        <v>0.01211944929</v>
      </c>
      <c r="T30" s="126">
        <f t="shared" si="54"/>
        <v>41.256</v>
      </c>
      <c r="U30" s="127">
        <v>162.5</v>
      </c>
      <c r="V30" s="127">
        <v>0.003</v>
      </c>
      <c r="W30" s="128">
        <v>0.34202</v>
      </c>
      <c r="X30" s="123">
        <f t="shared" si="55"/>
        <v>28152</v>
      </c>
      <c r="Y30" s="123">
        <v>0.055</v>
      </c>
      <c r="Z30" s="123">
        <v>0.1</v>
      </c>
      <c r="AA30" s="129">
        <f t="shared" si="56"/>
        <v>0.8743340836</v>
      </c>
      <c r="AB30" s="123">
        <v>3.0</v>
      </c>
      <c r="AC30" s="123">
        <v>3.0</v>
      </c>
    </row>
    <row r="31">
      <c r="A31" s="231">
        <v>195.0</v>
      </c>
      <c r="B31" s="232">
        <f t="shared" si="43"/>
        <v>0.01990984344</v>
      </c>
      <c r="C31" s="233">
        <f t="shared" si="44"/>
        <v>201279.4508</v>
      </c>
      <c r="D31" s="60">
        <f t="shared" si="45"/>
        <v>542.5792254</v>
      </c>
      <c r="E31" s="234">
        <f t="shared" si="46"/>
        <v>108515.8451</v>
      </c>
      <c r="F31" s="235">
        <f t="shared" si="47"/>
        <v>876.7681879</v>
      </c>
      <c r="G31" s="236">
        <f t="shared" si="48"/>
        <v>87676.81879</v>
      </c>
      <c r="H31" s="237">
        <f t="shared" si="49"/>
        <v>49032.98969</v>
      </c>
      <c r="I31" s="238">
        <f>((G31+H31+Z28)/1000000)/Y31</f>
        <v>2.4856347</v>
      </c>
      <c r="J31" s="239">
        <f t="shared" si="50"/>
        <v>5.244689016</v>
      </c>
      <c r="K31" s="183">
        <v>1.2566370612699998E-6</v>
      </c>
      <c r="L31" s="123">
        <v>2.0</v>
      </c>
      <c r="M31" s="123">
        <v>100.0</v>
      </c>
      <c r="N31" s="123">
        <f t="shared" si="51"/>
        <v>200</v>
      </c>
      <c r="O31" s="123">
        <v>0.2</v>
      </c>
      <c r="P31" s="124">
        <v>8151.2</v>
      </c>
      <c r="Q31" s="124">
        <v>100.0</v>
      </c>
      <c r="R31" s="124">
        <f t="shared" si="52"/>
        <v>8251.2</v>
      </c>
      <c r="S31" s="125">
        <f t="shared" si="53"/>
        <v>0.01211944929</v>
      </c>
      <c r="T31" s="126">
        <f t="shared" si="54"/>
        <v>41.256</v>
      </c>
      <c r="U31" s="127">
        <v>162.5</v>
      </c>
      <c r="V31" s="127">
        <v>0.003</v>
      </c>
      <c r="W31" s="128">
        <v>0.34202</v>
      </c>
      <c r="X31" s="123">
        <f t="shared" si="55"/>
        <v>39780</v>
      </c>
      <c r="Y31" s="123">
        <v>0.055</v>
      </c>
      <c r="Z31" s="123">
        <v>0.1</v>
      </c>
      <c r="AA31" s="129">
        <f t="shared" si="56"/>
        <v>0.8743340836</v>
      </c>
      <c r="AB31" s="123">
        <v>3.0</v>
      </c>
      <c r="AC31" s="123">
        <v>3.0</v>
      </c>
    </row>
    <row r="32">
      <c r="A32" s="155"/>
      <c r="K32" s="156"/>
      <c r="L32" s="157"/>
      <c r="M32" s="157"/>
      <c r="N32" s="157"/>
      <c r="O32" s="157"/>
      <c r="P32" s="158"/>
      <c r="Q32" s="158"/>
      <c r="R32" s="158"/>
      <c r="S32" s="159"/>
      <c r="T32" s="160"/>
      <c r="U32" s="161"/>
      <c r="V32" s="161"/>
      <c r="W32" s="162"/>
      <c r="X32" s="157"/>
      <c r="Y32" s="157"/>
      <c r="Z32" s="157"/>
      <c r="AA32" s="163"/>
      <c r="AB32" s="157"/>
      <c r="AC32" s="157"/>
    </row>
    <row r="33">
      <c r="A33" s="83" t="s">
        <v>56</v>
      </c>
      <c r="B33" s="164"/>
      <c r="C33" s="164"/>
      <c r="D33" s="164"/>
      <c r="E33" s="164"/>
      <c r="F33" s="164"/>
      <c r="G33" s="164"/>
      <c r="H33" s="164"/>
      <c r="I33" s="164"/>
      <c r="J33" s="3"/>
      <c r="K33" s="156"/>
      <c r="L33" s="157"/>
      <c r="M33" s="157"/>
      <c r="N33" s="157"/>
      <c r="O33" s="157"/>
      <c r="P33" s="158"/>
      <c r="Q33" s="158"/>
      <c r="R33" s="158"/>
      <c r="S33" s="159"/>
      <c r="T33" s="160"/>
      <c r="U33" s="161"/>
      <c r="V33" s="161"/>
      <c r="W33" s="162"/>
      <c r="X33" s="157"/>
      <c r="Y33" s="157"/>
      <c r="Z33" s="157"/>
      <c r="AA33" s="163"/>
      <c r="AB33" s="157"/>
      <c r="AC33" s="157"/>
    </row>
    <row r="34">
      <c r="A34" s="88" t="s">
        <v>1</v>
      </c>
      <c r="B34" s="166" t="s">
        <v>2</v>
      </c>
      <c r="C34" s="167" t="s">
        <v>3</v>
      </c>
      <c r="D34" s="167" t="s">
        <v>4</v>
      </c>
      <c r="E34" s="167" t="s">
        <v>5</v>
      </c>
      <c r="F34" s="168" t="s">
        <v>6</v>
      </c>
      <c r="G34" s="169" t="s">
        <v>7</v>
      </c>
      <c r="H34" s="170" t="s">
        <v>8</v>
      </c>
      <c r="I34" s="171" t="s">
        <v>9</v>
      </c>
      <c r="J34" s="172" t="s">
        <v>10</v>
      </c>
      <c r="K34" s="173" t="s">
        <v>11</v>
      </c>
      <c r="L34" s="174" t="s">
        <v>12</v>
      </c>
      <c r="M34" s="174" t="s">
        <v>13</v>
      </c>
      <c r="N34" s="174" t="s">
        <v>14</v>
      </c>
      <c r="O34" s="174" t="s">
        <v>15</v>
      </c>
      <c r="P34" s="175" t="s">
        <v>16</v>
      </c>
      <c r="Q34" s="175" t="s">
        <v>17</v>
      </c>
      <c r="R34" s="175" t="s">
        <v>18</v>
      </c>
      <c r="S34" s="176" t="s">
        <v>19</v>
      </c>
      <c r="T34" s="177" t="s">
        <v>20</v>
      </c>
      <c r="U34" s="178" t="s">
        <v>21</v>
      </c>
      <c r="V34" s="179" t="s">
        <v>22</v>
      </c>
      <c r="W34" s="96" t="s">
        <v>23</v>
      </c>
      <c r="X34" s="94" t="s">
        <v>24</v>
      </c>
      <c r="Y34" s="94" t="s">
        <v>25</v>
      </c>
      <c r="Z34" s="94" t="s">
        <v>26</v>
      </c>
      <c r="AA34" s="97" t="s">
        <v>27</v>
      </c>
      <c r="AB34" s="94" t="s">
        <v>28</v>
      </c>
      <c r="AC34" s="94" t="s">
        <v>29</v>
      </c>
    </row>
    <row r="35">
      <c r="A35" s="98" t="s">
        <v>30</v>
      </c>
      <c r="B35" s="99" t="s">
        <v>31</v>
      </c>
      <c r="C35" s="240" t="s">
        <v>32</v>
      </c>
      <c r="D35" s="241" t="s">
        <v>33</v>
      </c>
      <c r="E35" s="240" t="s">
        <v>34</v>
      </c>
      <c r="F35" s="242" t="s">
        <v>34</v>
      </c>
      <c r="G35" s="103" t="s">
        <v>35</v>
      </c>
      <c r="H35" s="104" t="s">
        <v>35</v>
      </c>
      <c r="I35" s="105" t="s">
        <v>36</v>
      </c>
      <c r="J35" s="106" t="s">
        <v>36</v>
      </c>
      <c r="K35" s="156"/>
      <c r="L35" s="180" t="s">
        <v>38</v>
      </c>
      <c r="M35" s="180" t="s">
        <v>38</v>
      </c>
      <c r="N35" s="180" t="s">
        <v>39</v>
      </c>
      <c r="O35" s="180" t="s">
        <v>38</v>
      </c>
      <c r="P35" s="181" t="s">
        <v>40</v>
      </c>
      <c r="Q35" s="181" t="s">
        <v>40</v>
      </c>
      <c r="R35" s="181" t="s">
        <v>40</v>
      </c>
      <c r="S35" s="181" t="s">
        <v>41</v>
      </c>
      <c r="T35" s="182" t="s">
        <v>42</v>
      </c>
      <c r="U35" s="243" t="s">
        <v>43</v>
      </c>
      <c r="V35" s="244" t="s">
        <v>38</v>
      </c>
      <c r="W35" s="111" t="s">
        <v>30</v>
      </c>
      <c r="X35" s="108" t="s">
        <v>38</v>
      </c>
      <c r="Y35" s="108" t="s">
        <v>30</v>
      </c>
      <c r="Z35" s="108" t="s">
        <v>36</v>
      </c>
      <c r="AA35" s="112" t="s">
        <v>30</v>
      </c>
      <c r="AB35" s="108" t="s">
        <v>30</v>
      </c>
      <c r="AC35" s="108" t="s">
        <v>30</v>
      </c>
    </row>
    <row r="36">
      <c r="A36" s="185">
        <v>10.0</v>
      </c>
      <c r="B36" s="186">
        <f t="shared" ref="B36:B39" si="57">K36*A36*U36/(L36)</f>
        <v>0.004084070449</v>
      </c>
      <c r="C36" s="187">
        <f t="shared" ref="C36:C39" si="58">2*PI()*T36*A36*B36*N36</f>
        <v>529.3345189</v>
      </c>
      <c r="D36" s="188">
        <f t="shared" ref="D36:D39" si="59">(B36*AA36)^2/(4*K36)*AB36*AC36</f>
        <v>17.14845046</v>
      </c>
      <c r="E36" s="187">
        <f t="shared" ref="E36:E39" si="60">D36*N36</f>
        <v>428.7112615</v>
      </c>
      <c r="F36" s="189">
        <f t="shared" ref="F36:F39" si="61">((B36*AA36)^2*N36/(2*K36))*S36*AC36</f>
        <v>3.463829597</v>
      </c>
      <c r="G36" s="190">
        <f t="shared" ref="G36:G39" si="62">F36*Q36</f>
        <v>346.3829597</v>
      </c>
      <c r="H36" s="191">
        <f t="shared" ref="H36:H39" si="63">B36*U36*V36*W36*X36*T36*AB36*AC36</f>
        <v>510.740556</v>
      </c>
      <c r="I36" s="192">
        <f>((G36+H36+Z36)/1000000)/Y36</f>
        <v>0.0155858821</v>
      </c>
      <c r="J36" s="121">
        <f t="shared" ref="J36:J39" si="64">(I36+(H36+F36*Q36)/1000000)*2</f>
        <v>0.03288601124</v>
      </c>
      <c r="K36" s="122">
        <v>1.2566370612699998E-6</v>
      </c>
      <c r="L36" s="123">
        <v>0.5</v>
      </c>
      <c r="M36" s="123">
        <v>50.0</v>
      </c>
      <c r="N36" s="123">
        <f t="shared" ref="N36:N39" si="65">L36*M36</f>
        <v>25</v>
      </c>
      <c r="O36" s="123">
        <v>0.1</v>
      </c>
      <c r="P36" s="124">
        <v>8151.2</v>
      </c>
      <c r="Q36" s="124">
        <v>100.0</v>
      </c>
      <c r="R36" s="124">
        <f t="shared" ref="R36:R39" si="66">P36+Q36</f>
        <v>8251.2</v>
      </c>
      <c r="S36" s="125">
        <f t="shared" ref="S36:S39" si="67">Q36/R36</f>
        <v>0.01211944929</v>
      </c>
      <c r="T36" s="126">
        <f t="shared" ref="T36:T39" si="68">R36/(2*M36)</f>
        <v>82.512</v>
      </c>
      <c r="U36" s="127">
        <v>162.5</v>
      </c>
      <c r="V36" s="127">
        <v>0.003</v>
      </c>
      <c r="W36" s="128">
        <v>0.34202</v>
      </c>
      <c r="X36" s="123">
        <f t="shared" ref="X36:X39" si="69">2*(L36+M36)*A36</f>
        <v>1010</v>
      </c>
      <c r="Y36" s="123">
        <v>0.055</v>
      </c>
      <c r="Z36" s="123">
        <v>0.1</v>
      </c>
      <c r="AA36" s="129">
        <f t="shared" ref="AA36:AA39" si="70">(2/PI())*atan(L36/(2*O36))</f>
        <v>0.7577621168</v>
      </c>
      <c r="AB36" s="123">
        <v>3.0</v>
      </c>
      <c r="AC36" s="123">
        <v>3.0</v>
      </c>
    </row>
    <row r="37">
      <c r="A37" s="216">
        <v>98.0</v>
      </c>
      <c r="B37" s="217">
        <f t="shared" si="57"/>
        <v>0.0400238904</v>
      </c>
      <c r="C37" s="218">
        <f t="shared" si="58"/>
        <v>50837.28719</v>
      </c>
      <c r="D37" s="45">
        <f t="shared" si="59"/>
        <v>1646.937182</v>
      </c>
      <c r="E37" s="219">
        <f t="shared" si="60"/>
        <v>41173.42956</v>
      </c>
      <c r="F37" s="189">
        <f t="shared" si="61"/>
        <v>332.6661945</v>
      </c>
      <c r="G37" s="220">
        <f t="shared" si="62"/>
        <v>33266.61945</v>
      </c>
      <c r="H37" s="221">
        <f t="shared" si="63"/>
        <v>49051.523</v>
      </c>
      <c r="I37" s="192">
        <f>((G37+H37+Z36)/1000000)/Y37</f>
        <v>1.496695317</v>
      </c>
      <c r="J37" s="137">
        <f t="shared" si="64"/>
        <v>3.158026919</v>
      </c>
      <c r="K37" s="122">
        <v>1.2566370612699998E-6</v>
      </c>
      <c r="L37" s="123">
        <v>0.5</v>
      </c>
      <c r="M37" s="123">
        <v>50.0</v>
      </c>
      <c r="N37" s="123">
        <f t="shared" si="65"/>
        <v>25</v>
      </c>
      <c r="O37" s="123">
        <v>0.1</v>
      </c>
      <c r="P37" s="124">
        <v>8151.2</v>
      </c>
      <c r="Q37" s="124">
        <v>100.0</v>
      </c>
      <c r="R37" s="124">
        <f t="shared" si="66"/>
        <v>8251.2</v>
      </c>
      <c r="S37" s="125">
        <f t="shared" si="67"/>
        <v>0.01211944929</v>
      </c>
      <c r="T37" s="126">
        <f t="shared" si="68"/>
        <v>82.512</v>
      </c>
      <c r="U37" s="127">
        <v>162.5</v>
      </c>
      <c r="V37" s="127">
        <v>0.003</v>
      </c>
      <c r="W37" s="128">
        <v>0.34202</v>
      </c>
      <c r="X37" s="123">
        <f t="shared" si="69"/>
        <v>9898</v>
      </c>
      <c r="Y37" s="123">
        <v>0.055</v>
      </c>
      <c r="Z37" s="123">
        <v>0.1</v>
      </c>
      <c r="AA37" s="129">
        <f t="shared" si="70"/>
        <v>0.7577621168</v>
      </c>
      <c r="AB37" s="123">
        <v>3.0</v>
      </c>
      <c r="AC37" s="123">
        <v>3.0</v>
      </c>
    </row>
    <row r="38">
      <c r="A38" s="222">
        <v>138.0</v>
      </c>
      <c r="B38" s="223">
        <f t="shared" si="57"/>
        <v>0.0563601722</v>
      </c>
      <c r="C38" s="224">
        <f t="shared" si="58"/>
        <v>100806.4658</v>
      </c>
      <c r="D38" s="225">
        <f t="shared" si="59"/>
        <v>3265.750906</v>
      </c>
      <c r="E38" s="226">
        <f t="shared" si="60"/>
        <v>81643.77265</v>
      </c>
      <c r="F38" s="227">
        <f t="shared" si="61"/>
        <v>659.6517084</v>
      </c>
      <c r="G38" s="228">
        <f t="shared" si="62"/>
        <v>65965.17084</v>
      </c>
      <c r="H38" s="229">
        <f t="shared" si="63"/>
        <v>97265.43148</v>
      </c>
      <c r="I38" s="230">
        <f>((G38+H38+Z36)/1000000)/Y38</f>
        <v>2.967830951</v>
      </c>
      <c r="J38" s="146">
        <f t="shared" si="64"/>
        <v>6.262123107</v>
      </c>
      <c r="K38" s="122">
        <v>1.2566370612699998E-6</v>
      </c>
      <c r="L38" s="123">
        <v>0.5</v>
      </c>
      <c r="M38" s="123">
        <v>50.0</v>
      </c>
      <c r="N38" s="123">
        <f t="shared" si="65"/>
        <v>25</v>
      </c>
      <c r="O38" s="123">
        <v>0.1</v>
      </c>
      <c r="P38" s="124">
        <v>8151.2</v>
      </c>
      <c r="Q38" s="124">
        <v>100.0</v>
      </c>
      <c r="R38" s="124">
        <f t="shared" si="66"/>
        <v>8251.2</v>
      </c>
      <c r="S38" s="125">
        <f t="shared" si="67"/>
        <v>0.01211944929</v>
      </c>
      <c r="T38" s="126">
        <f t="shared" si="68"/>
        <v>82.512</v>
      </c>
      <c r="U38" s="127">
        <v>162.5</v>
      </c>
      <c r="V38" s="127">
        <v>0.003</v>
      </c>
      <c r="W38" s="128">
        <v>0.34202</v>
      </c>
      <c r="X38" s="123">
        <f t="shared" si="69"/>
        <v>13938</v>
      </c>
      <c r="Y38" s="123">
        <v>0.055</v>
      </c>
      <c r="Z38" s="123">
        <v>0.1</v>
      </c>
      <c r="AA38" s="129">
        <f t="shared" si="70"/>
        <v>0.7577621168</v>
      </c>
      <c r="AB38" s="123">
        <v>3.0</v>
      </c>
      <c r="AC38" s="123">
        <v>3.0</v>
      </c>
    </row>
    <row r="39">
      <c r="A39" s="231">
        <v>195.0</v>
      </c>
      <c r="B39" s="232">
        <f t="shared" si="57"/>
        <v>0.07963937376</v>
      </c>
      <c r="C39" s="234">
        <f t="shared" si="58"/>
        <v>201279.4508</v>
      </c>
      <c r="D39" s="60">
        <f t="shared" si="59"/>
        <v>6520.698288</v>
      </c>
      <c r="E39" s="234">
        <f t="shared" si="60"/>
        <v>163017.4572</v>
      </c>
      <c r="F39" s="245">
        <f t="shared" si="61"/>
        <v>1317.121204</v>
      </c>
      <c r="G39" s="236">
        <f t="shared" si="62"/>
        <v>131712.1204</v>
      </c>
      <c r="H39" s="237">
        <f t="shared" si="63"/>
        <v>194209.0964</v>
      </c>
      <c r="I39" s="238">
        <f>((G39+H39+Z36)/1000000)/Y39</f>
        <v>5.925842124</v>
      </c>
      <c r="J39" s="154">
        <f t="shared" si="64"/>
        <v>12.50352668</v>
      </c>
      <c r="K39" s="183">
        <v>1.2566370612699998E-6</v>
      </c>
      <c r="L39" s="246">
        <v>0.5</v>
      </c>
      <c r="M39" s="123">
        <v>50.0</v>
      </c>
      <c r="N39" s="123">
        <f t="shared" si="65"/>
        <v>25</v>
      </c>
      <c r="O39" s="123">
        <v>0.1</v>
      </c>
      <c r="P39" s="124">
        <v>8151.2</v>
      </c>
      <c r="Q39" s="124">
        <v>100.0</v>
      </c>
      <c r="R39" s="124">
        <f t="shared" si="66"/>
        <v>8251.2</v>
      </c>
      <c r="S39" s="125">
        <f t="shared" si="67"/>
        <v>0.01211944929</v>
      </c>
      <c r="T39" s="126">
        <f t="shared" si="68"/>
        <v>82.512</v>
      </c>
      <c r="U39" s="127">
        <v>162.5</v>
      </c>
      <c r="V39" s="127">
        <v>0.003</v>
      </c>
      <c r="W39" s="128">
        <v>0.34202</v>
      </c>
      <c r="X39" s="123">
        <f t="shared" si="69"/>
        <v>19695</v>
      </c>
      <c r="Y39" s="123">
        <v>0.055</v>
      </c>
      <c r="Z39" s="123">
        <v>0.1</v>
      </c>
      <c r="AA39" s="129">
        <f t="shared" si="70"/>
        <v>0.7577621168</v>
      </c>
      <c r="AB39" s="123">
        <v>3.0</v>
      </c>
      <c r="AC39" s="123">
        <v>3.0</v>
      </c>
    </row>
    <row r="40">
      <c r="A40" s="184"/>
      <c r="K40" s="156"/>
      <c r="L40" s="157"/>
      <c r="M40" s="157"/>
      <c r="N40" s="157"/>
      <c r="O40" s="157"/>
      <c r="P40" s="158"/>
      <c r="Q40" s="158"/>
      <c r="R40" s="158"/>
      <c r="S40" s="159"/>
      <c r="T40" s="160"/>
      <c r="U40" s="161"/>
      <c r="V40" s="161"/>
      <c r="W40" s="162"/>
      <c r="X40" s="157"/>
      <c r="Y40" s="157"/>
      <c r="Z40" s="157"/>
      <c r="AA40" s="163"/>
      <c r="AB40" s="157"/>
      <c r="AC40" s="157"/>
    </row>
    <row r="41">
      <c r="A41" s="83" t="s">
        <v>57</v>
      </c>
      <c r="B41" s="164"/>
      <c r="C41" s="164"/>
      <c r="D41" s="164"/>
      <c r="E41" s="164"/>
      <c r="F41" s="164"/>
      <c r="G41" s="164"/>
      <c r="H41" s="164"/>
      <c r="I41" s="164"/>
      <c r="J41" s="3"/>
      <c r="K41" s="156"/>
      <c r="L41" s="157"/>
      <c r="M41" s="157"/>
      <c r="N41" s="157"/>
      <c r="O41" s="157"/>
      <c r="P41" s="158"/>
      <c r="Q41" s="158"/>
      <c r="R41" s="158"/>
      <c r="S41" s="159"/>
      <c r="T41" s="165"/>
      <c r="U41" s="161"/>
      <c r="V41" s="161"/>
      <c r="W41" s="162"/>
      <c r="X41" s="157"/>
      <c r="Y41" s="157"/>
      <c r="Z41" s="157"/>
      <c r="AA41" s="163"/>
      <c r="AB41" s="157"/>
      <c r="AC41" s="157"/>
    </row>
    <row r="42">
      <c r="A42" s="247" t="s">
        <v>1</v>
      </c>
      <c r="B42" s="166" t="s">
        <v>2</v>
      </c>
      <c r="C42" s="167" t="s">
        <v>3</v>
      </c>
      <c r="D42" s="167" t="s">
        <v>4</v>
      </c>
      <c r="E42" s="167" t="s">
        <v>5</v>
      </c>
      <c r="F42" s="168" t="s">
        <v>6</v>
      </c>
      <c r="G42" s="169" t="s">
        <v>7</v>
      </c>
      <c r="H42" s="170" t="s">
        <v>8</v>
      </c>
      <c r="I42" s="171" t="s">
        <v>9</v>
      </c>
      <c r="J42" s="172" t="s">
        <v>10</v>
      </c>
      <c r="K42" s="173" t="s">
        <v>11</v>
      </c>
      <c r="L42" s="174" t="s">
        <v>12</v>
      </c>
      <c r="M42" s="174" t="s">
        <v>13</v>
      </c>
      <c r="N42" s="174" t="s">
        <v>14</v>
      </c>
      <c r="O42" s="174" t="s">
        <v>15</v>
      </c>
      <c r="P42" s="175" t="s">
        <v>16</v>
      </c>
      <c r="Q42" s="175" t="s">
        <v>17</v>
      </c>
      <c r="R42" s="175" t="s">
        <v>18</v>
      </c>
      <c r="S42" s="176" t="s">
        <v>19</v>
      </c>
      <c r="T42" s="177" t="s">
        <v>20</v>
      </c>
      <c r="U42" s="178" t="s">
        <v>21</v>
      </c>
      <c r="V42" s="179" t="s">
        <v>22</v>
      </c>
      <c r="W42" s="96" t="s">
        <v>23</v>
      </c>
      <c r="X42" s="94" t="s">
        <v>24</v>
      </c>
      <c r="Y42" s="94" t="s">
        <v>25</v>
      </c>
      <c r="Z42" s="94" t="s">
        <v>26</v>
      </c>
      <c r="AA42" s="97" t="s">
        <v>27</v>
      </c>
      <c r="AB42" s="94" t="s">
        <v>28</v>
      </c>
      <c r="AC42" s="94" t="s">
        <v>29</v>
      </c>
    </row>
    <row r="43">
      <c r="A43" s="98" t="s">
        <v>30</v>
      </c>
      <c r="B43" s="99" t="s">
        <v>31</v>
      </c>
      <c r="C43" s="240" t="s">
        <v>32</v>
      </c>
      <c r="D43" s="241" t="s">
        <v>33</v>
      </c>
      <c r="E43" s="240" t="s">
        <v>34</v>
      </c>
      <c r="F43" s="242" t="s">
        <v>34</v>
      </c>
      <c r="G43" s="103" t="s">
        <v>35</v>
      </c>
      <c r="H43" s="104" t="s">
        <v>35</v>
      </c>
      <c r="I43" s="105" t="s">
        <v>36</v>
      </c>
      <c r="J43" s="106" t="s">
        <v>36</v>
      </c>
      <c r="K43" s="156"/>
      <c r="L43" s="180" t="s">
        <v>38</v>
      </c>
      <c r="M43" s="180" t="s">
        <v>38</v>
      </c>
      <c r="N43" s="180" t="s">
        <v>39</v>
      </c>
      <c r="O43" s="180" t="s">
        <v>38</v>
      </c>
      <c r="P43" s="181" t="s">
        <v>40</v>
      </c>
      <c r="Q43" s="181" t="s">
        <v>40</v>
      </c>
      <c r="R43" s="181" t="s">
        <v>40</v>
      </c>
      <c r="S43" s="181" t="s">
        <v>41</v>
      </c>
      <c r="T43" s="182" t="s">
        <v>42</v>
      </c>
      <c r="U43" s="243" t="s">
        <v>43</v>
      </c>
      <c r="V43" s="244" t="s">
        <v>38</v>
      </c>
      <c r="W43" s="111" t="s">
        <v>30</v>
      </c>
      <c r="X43" s="108" t="s">
        <v>38</v>
      </c>
      <c r="Y43" s="108" t="s">
        <v>30</v>
      </c>
      <c r="Z43" s="108" t="s">
        <v>36</v>
      </c>
      <c r="AA43" s="112" t="s">
        <v>30</v>
      </c>
      <c r="AB43" s="108" t="s">
        <v>30</v>
      </c>
      <c r="AC43" s="108" t="s">
        <v>30</v>
      </c>
    </row>
    <row r="44">
      <c r="A44" s="113">
        <v>10.0</v>
      </c>
      <c r="B44" s="114">
        <f t="shared" ref="B44:B47" si="71">K44*A44*U44/(L44)</f>
        <v>0.008168140898</v>
      </c>
      <c r="C44" s="115">
        <f t="shared" ref="C44:C47" si="72">2*PI()*T44*A44*B44*N44</f>
        <v>1058.669038</v>
      </c>
      <c r="D44" s="116">
        <f t="shared" ref="D44:D47" si="73">(B44*AA44)^2/(4*K44)*AB44*AC44</f>
        <v>38.87308869</v>
      </c>
      <c r="E44" s="115">
        <f t="shared" ref="E44:E47" si="74">D44*N44</f>
        <v>971.8272172</v>
      </c>
      <c r="F44" s="117">
        <f t="shared" ref="F44:F47" si="75">((B44*AA44)^2*N44/(2*K44))*S44*AC44</f>
        <v>7.85200712</v>
      </c>
      <c r="G44" s="118">
        <f t="shared" ref="G44:G47" si="76">F44*Q44</f>
        <v>785.200712</v>
      </c>
      <c r="H44" s="119">
        <f t="shared" ref="H44:H47" si="77">B44*U44*V44*W44*X44*T44*AB44*AC44</f>
        <v>2042.962224</v>
      </c>
      <c r="I44" s="120">
        <f>((G44+H44+Z44)/1000000)/Y44</f>
        <v>0.05142296247</v>
      </c>
      <c r="J44" s="121">
        <f t="shared" ref="J44:J47" si="78">(I44+(H44+F44*Q44)/1000000)*2</f>
        <v>0.1085022508</v>
      </c>
      <c r="K44" s="122">
        <v>1.2566370612699998E-6</v>
      </c>
      <c r="L44" s="123">
        <v>0.5</v>
      </c>
      <c r="M44" s="123">
        <v>50.0</v>
      </c>
      <c r="N44" s="123">
        <f t="shared" ref="N44:N47" si="79">L44*M44</f>
        <v>25</v>
      </c>
      <c r="O44" s="123">
        <v>0.2</v>
      </c>
      <c r="P44" s="124">
        <v>8151.2</v>
      </c>
      <c r="Q44" s="124">
        <v>100.0</v>
      </c>
      <c r="R44" s="124">
        <f t="shared" ref="R44:R47" si="80">P44+Q44</f>
        <v>8251.2</v>
      </c>
      <c r="S44" s="125">
        <f t="shared" ref="S44:S47" si="81">Q44/R44</f>
        <v>0.01211944929</v>
      </c>
      <c r="T44" s="126">
        <f t="shared" ref="T44:T47" si="82">R44/(2*M44)</f>
        <v>82.512</v>
      </c>
      <c r="U44" s="127">
        <f t="shared" ref="U44:U47" si="83">2*162.5</f>
        <v>325</v>
      </c>
      <c r="V44" s="127">
        <v>0.003</v>
      </c>
      <c r="W44" s="128">
        <v>0.34202</v>
      </c>
      <c r="X44" s="123">
        <f t="shared" ref="X44:X47" si="84">2*(L44+M44)*A44</f>
        <v>1010</v>
      </c>
      <c r="Y44" s="123">
        <v>0.055</v>
      </c>
      <c r="Z44" s="123">
        <v>0.1</v>
      </c>
      <c r="AA44" s="129">
        <f t="shared" ref="AA44:AA47" si="85">(2/PI())*atan(L44/(2*O44))</f>
        <v>0.570446575</v>
      </c>
      <c r="AB44" s="123">
        <v>3.0</v>
      </c>
      <c r="AC44" s="123">
        <v>3.0</v>
      </c>
    </row>
    <row r="45">
      <c r="A45" s="216">
        <v>69.0</v>
      </c>
      <c r="B45" s="217">
        <f t="shared" si="71"/>
        <v>0.0563601722</v>
      </c>
      <c r="C45" s="218">
        <f t="shared" si="72"/>
        <v>50403.23289</v>
      </c>
      <c r="D45" s="45">
        <f t="shared" si="73"/>
        <v>1850.747752</v>
      </c>
      <c r="E45" s="219">
        <f t="shared" si="74"/>
        <v>46268.69381</v>
      </c>
      <c r="F45" s="189">
        <f t="shared" si="75"/>
        <v>373.834059</v>
      </c>
      <c r="G45" s="220">
        <f t="shared" si="76"/>
        <v>37383.4059</v>
      </c>
      <c r="H45" s="221">
        <f t="shared" si="77"/>
        <v>97265.43148</v>
      </c>
      <c r="I45" s="192">
        <f>((G45+H45+Z44)/1000000)/Y45</f>
        <v>2.448162498</v>
      </c>
      <c r="J45" s="137">
        <f t="shared" si="78"/>
        <v>5.16562267</v>
      </c>
      <c r="K45" s="122">
        <v>1.2566370612699998E-6</v>
      </c>
      <c r="L45" s="123">
        <v>0.5</v>
      </c>
      <c r="M45" s="123">
        <v>50.0</v>
      </c>
      <c r="N45" s="123">
        <f t="shared" si="79"/>
        <v>25</v>
      </c>
      <c r="O45" s="123">
        <v>0.2</v>
      </c>
      <c r="P45" s="124">
        <v>8151.2</v>
      </c>
      <c r="Q45" s="124">
        <v>100.0</v>
      </c>
      <c r="R45" s="124">
        <f t="shared" si="80"/>
        <v>8251.2</v>
      </c>
      <c r="S45" s="125">
        <f t="shared" si="81"/>
        <v>0.01211944929</v>
      </c>
      <c r="T45" s="126">
        <f t="shared" si="82"/>
        <v>82.512</v>
      </c>
      <c r="U45" s="127">
        <f t="shared" si="83"/>
        <v>325</v>
      </c>
      <c r="V45" s="127">
        <v>0.003</v>
      </c>
      <c r="W45" s="128">
        <v>0.34202</v>
      </c>
      <c r="X45" s="123">
        <f t="shared" si="84"/>
        <v>6969</v>
      </c>
      <c r="Y45" s="123">
        <v>0.055</v>
      </c>
      <c r="Z45" s="123">
        <v>0.1</v>
      </c>
      <c r="AA45" s="129">
        <f t="shared" si="85"/>
        <v>0.570446575</v>
      </c>
      <c r="AB45" s="123">
        <v>3.0</v>
      </c>
      <c r="AC45" s="123">
        <v>3.0</v>
      </c>
    </row>
    <row r="46">
      <c r="A46" s="222">
        <v>98.0</v>
      </c>
      <c r="B46" s="223">
        <f t="shared" si="71"/>
        <v>0.0800477808</v>
      </c>
      <c r="C46" s="224">
        <f t="shared" si="72"/>
        <v>101674.5744</v>
      </c>
      <c r="D46" s="225">
        <f t="shared" si="73"/>
        <v>3733.371438</v>
      </c>
      <c r="E46" s="226">
        <f t="shared" si="74"/>
        <v>93334.28594</v>
      </c>
      <c r="F46" s="227">
        <f t="shared" si="75"/>
        <v>754.1067638</v>
      </c>
      <c r="G46" s="228">
        <f t="shared" si="76"/>
        <v>75410.67638</v>
      </c>
      <c r="H46" s="229">
        <f t="shared" si="77"/>
        <v>196206.092</v>
      </c>
      <c r="I46" s="230">
        <f>((G46+H46+Z44)/1000000)/Y46</f>
        <v>4.938488516</v>
      </c>
      <c r="J46" s="146">
        <f t="shared" si="78"/>
        <v>10.42021057</v>
      </c>
      <c r="K46" s="122">
        <v>1.2566370612699998E-6</v>
      </c>
      <c r="L46" s="123">
        <v>0.5</v>
      </c>
      <c r="M46" s="123">
        <v>50.0</v>
      </c>
      <c r="N46" s="123">
        <f t="shared" si="79"/>
        <v>25</v>
      </c>
      <c r="O46" s="123">
        <v>0.2</v>
      </c>
      <c r="P46" s="124">
        <v>8151.2</v>
      </c>
      <c r="Q46" s="124">
        <v>100.0</v>
      </c>
      <c r="R46" s="124">
        <f t="shared" si="80"/>
        <v>8251.2</v>
      </c>
      <c r="S46" s="125">
        <f t="shared" si="81"/>
        <v>0.01211944929</v>
      </c>
      <c r="T46" s="126">
        <f t="shared" si="82"/>
        <v>82.512</v>
      </c>
      <c r="U46" s="127">
        <f t="shared" si="83"/>
        <v>325</v>
      </c>
      <c r="V46" s="127">
        <v>0.003</v>
      </c>
      <c r="W46" s="128">
        <v>0.34202</v>
      </c>
      <c r="X46" s="123">
        <f t="shared" si="84"/>
        <v>9898</v>
      </c>
      <c r="Y46" s="123">
        <v>0.055</v>
      </c>
      <c r="Z46" s="123">
        <v>0.1</v>
      </c>
      <c r="AA46" s="129">
        <f t="shared" si="85"/>
        <v>0.570446575</v>
      </c>
      <c r="AB46" s="123">
        <v>3.0</v>
      </c>
      <c r="AC46" s="123">
        <v>3.0</v>
      </c>
    </row>
    <row r="47">
      <c r="A47" s="231">
        <v>121.0</v>
      </c>
      <c r="B47" s="232">
        <f t="shared" si="71"/>
        <v>0.09883450487</v>
      </c>
      <c r="C47" s="234">
        <f t="shared" si="72"/>
        <v>154999.7338</v>
      </c>
      <c r="D47" s="60">
        <f t="shared" si="73"/>
        <v>5691.408915</v>
      </c>
      <c r="E47" s="234">
        <f t="shared" si="74"/>
        <v>142285.2229</v>
      </c>
      <c r="F47" s="245">
        <f t="shared" si="75"/>
        <v>1149.612362</v>
      </c>
      <c r="G47" s="236">
        <f t="shared" si="76"/>
        <v>114961.2362</v>
      </c>
      <c r="H47" s="237">
        <f t="shared" si="77"/>
        <v>299110.0992</v>
      </c>
      <c r="I47" s="238">
        <f>((G47+H47+Z44)/1000000)/Y47</f>
        <v>7.528571554</v>
      </c>
      <c r="J47" s="154">
        <f t="shared" si="78"/>
        <v>15.88528578</v>
      </c>
      <c r="K47" s="122">
        <v>1.2566370612699998E-6</v>
      </c>
      <c r="L47" s="123">
        <v>0.5</v>
      </c>
      <c r="M47" s="123">
        <v>50.0</v>
      </c>
      <c r="N47" s="123">
        <f t="shared" si="79"/>
        <v>25</v>
      </c>
      <c r="O47" s="123">
        <v>0.2</v>
      </c>
      <c r="P47" s="124">
        <v>8151.2</v>
      </c>
      <c r="Q47" s="124">
        <v>100.0</v>
      </c>
      <c r="R47" s="124">
        <f t="shared" si="80"/>
        <v>8251.2</v>
      </c>
      <c r="S47" s="125">
        <f t="shared" si="81"/>
        <v>0.01211944929</v>
      </c>
      <c r="T47" s="126">
        <f t="shared" si="82"/>
        <v>82.512</v>
      </c>
      <c r="U47" s="127">
        <f t="shared" si="83"/>
        <v>325</v>
      </c>
      <c r="V47" s="127">
        <v>0.003</v>
      </c>
      <c r="W47" s="128">
        <v>0.34202</v>
      </c>
      <c r="X47" s="123">
        <f t="shared" si="84"/>
        <v>12221</v>
      </c>
      <c r="Y47" s="123">
        <v>0.055</v>
      </c>
      <c r="Z47" s="123">
        <v>0.1</v>
      </c>
      <c r="AA47" s="129">
        <f t="shared" si="85"/>
        <v>0.570446575</v>
      </c>
      <c r="AB47" s="123">
        <v>3.0</v>
      </c>
      <c r="AC47" s="123">
        <v>3.0</v>
      </c>
    </row>
    <row r="48">
      <c r="A48" s="157"/>
      <c r="K48" s="157"/>
      <c r="L48" s="157"/>
      <c r="M48" s="157"/>
      <c r="N48" s="157"/>
      <c r="O48" s="157"/>
      <c r="P48" s="157"/>
      <c r="Q48" s="158"/>
      <c r="R48" s="158"/>
      <c r="S48" s="159"/>
      <c r="T48" s="160"/>
      <c r="U48" s="157"/>
      <c r="V48" s="157"/>
      <c r="W48" s="162"/>
      <c r="X48" s="157"/>
      <c r="Y48" s="157"/>
      <c r="Z48" s="157"/>
      <c r="AA48" s="163"/>
      <c r="AB48" s="157"/>
      <c r="AC48" s="157"/>
    </row>
    <row r="49">
      <c r="A49" s="83" t="s">
        <v>58</v>
      </c>
      <c r="B49" s="2"/>
      <c r="C49" s="2"/>
      <c r="D49" s="2"/>
      <c r="E49" s="2"/>
      <c r="F49" s="2"/>
      <c r="G49" s="2"/>
      <c r="H49" s="2"/>
      <c r="I49" s="2"/>
      <c r="J49" s="3"/>
      <c r="K49" s="157"/>
      <c r="L49" s="157"/>
      <c r="M49" s="157"/>
      <c r="N49" s="157"/>
      <c r="O49" s="157"/>
      <c r="P49" s="157"/>
      <c r="Q49" s="158"/>
      <c r="R49" s="158"/>
      <c r="S49" s="159"/>
      <c r="T49" s="84"/>
      <c r="U49" s="157"/>
      <c r="V49" s="157"/>
      <c r="W49" s="162"/>
      <c r="X49" s="157"/>
      <c r="Y49" s="157"/>
      <c r="Z49" s="157"/>
      <c r="AA49" s="163"/>
      <c r="AB49" s="157"/>
      <c r="AC49" s="157"/>
    </row>
    <row r="50">
      <c r="A50" s="88" t="s">
        <v>1</v>
      </c>
      <c r="B50" s="89" t="s">
        <v>2</v>
      </c>
      <c r="C50" s="90" t="s">
        <v>3</v>
      </c>
      <c r="D50" s="90" t="s">
        <v>4</v>
      </c>
      <c r="E50" s="90" t="s">
        <v>5</v>
      </c>
      <c r="F50" s="90" t="s">
        <v>6</v>
      </c>
      <c r="G50" s="89" t="s">
        <v>7</v>
      </c>
      <c r="H50" s="91" t="s">
        <v>8</v>
      </c>
      <c r="I50" s="92" t="s">
        <v>9</v>
      </c>
      <c r="J50" s="93" t="s">
        <v>10</v>
      </c>
      <c r="K50" s="174" t="s">
        <v>11</v>
      </c>
      <c r="L50" s="174" t="s">
        <v>12</v>
      </c>
      <c r="M50" s="174" t="s">
        <v>13</v>
      </c>
      <c r="N50" s="174" t="s">
        <v>14</v>
      </c>
      <c r="O50" s="174" t="s">
        <v>15</v>
      </c>
      <c r="P50" s="174" t="s">
        <v>16</v>
      </c>
      <c r="Q50" s="175" t="s">
        <v>17</v>
      </c>
      <c r="R50" s="174" t="s">
        <v>18</v>
      </c>
      <c r="S50" s="174" t="s">
        <v>19</v>
      </c>
      <c r="T50" s="174" t="s">
        <v>20</v>
      </c>
      <c r="U50" s="174" t="s">
        <v>21</v>
      </c>
      <c r="V50" s="94" t="s">
        <v>22</v>
      </c>
      <c r="W50" s="96" t="s">
        <v>23</v>
      </c>
      <c r="X50" s="94" t="s">
        <v>24</v>
      </c>
      <c r="Y50" s="94" t="s">
        <v>25</v>
      </c>
      <c r="Z50" s="94" t="s">
        <v>26</v>
      </c>
      <c r="AA50" s="97" t="s">
        <v>27</v>
      </c>
      <c r="AB50" s="94" t="s">
        <v>28</v>
      </c>
      <c r="AC50" s="94" t="s">
        <v>29</v>
      </c>
    </row>
    <row r="51">
      <c r="A51" s="98" t="s">
        <v>30</v>
      </c>
      <c r="B51" s="99" t="s">
        <v>31</v>
      </c>
      <c r="C51" s="100" t="s">
        <v>32</v>
      </c>
      <c r="D51" s="101" t="s">
        <v>33</v>
      </c>
      <c r="E51" s="100" t="s">
        <v>34</v>
      </c>
      <c r="F51" s="102" t="s">
        <v>34</v>
      </c>
      <c r="G51" s="103" t="s">
        <v>35</v>
      </c>
      <c r="H51" s="104" t="s">
        <v>35</v>
      </c>
      <c r="I51" s="105" t="s">
        <v>36</v>
      </c>
      <c r="J51" s="106" t="s">
        <v>36</v>
      </c>
      <c r="K51" s="156"/>
      <c r="L51" s="180" t="s">
        <v>38</v>
      </c>
      <c r="M51" s="180" t="s">
        <v>38</v>
      </c>
      <c r="N51" s="180" t="s">
        <v>39</v>
      </c>
      <c r="O51" s="180" t="s">
        <v>38</v>
      </c>
      <c r="P51" s="181" t="s">
        <v>40</v>
      </c>
      <c r="Q51" s="181" t="s">
        <v>40</v>
      </c>
      <c r="R51" s="181" t="s">
        <v>40</v>
      </c>
      <c r="S51" s="181" t="s">
        <v>41</v>
      </c>
      <c r="T51" s="182" t="s">
        <v>42</v>
      </c>
      <c r="U51" s="180" t="s">
        <v>43</v>
      </c>
      <c r="V51" s="108" t="s">
        <v>38</v>
      </c>
      <c r="W51" s="111" t="s">
        <v>30</v>
      </c>
      <c r="X51" s="108" t="s">
        <v>38</v>
      </c>
      <c r="Y51" s="108" t="s">
        <v>30</v>
      </c>
      <c r="Z51" s="108" t="s">
        <v>36</v>
      </c>
      <c r="AA51" s="112" t="s">
        <v>30</v>
      </c>
      <c r="AB51" s="108" t="s">
        <v>30</v>
      </c>
      <c r="AC51" s="108" t="s">
        <v>30</v>
      </c>
    </row>
    <row r="52">
      <c r="A52" s="185">
        <v>10.0</v>
      </c>
      <c r="B52" s="186">
        <f t="shared" ref="B52:B55" si="86">K52*A52*U52/(L52)</f>
        <v>0.004084070449</v>
      </c>
      <c r="C52" s="187">
        <f t="shared" ref="C52:C55" si="87">2*PI()*T52*A52*B52*N52</f>
        <v>1058.669038</v>
      </c>
      <c r="D52" s="188">
        <f t="shared" ref="D52:D55" si="88">(B52*AA52)^2/(4*K52)*AB52*AC52</f>
        <v>22.83042105</v>
      </c>
      <c r="E52" s="187">
        <f t="shared" ref="E52:E55" si="89">D52*N52</f>
        <v>2283.042105</v>
      </c>
      <c r="F52" s="189">
        <f t="shared" ref="F52:F55" si="90">((B52*AA52)^2*N52/(2*K52))*S52*AC52</f>
        <v>18.44614202</v>
      </c>
      <c r="G52" s="190">
        <f t="shared" ref="G52:G55" si="91">F52*Q52</f>
        <v>1844.614202</v>
      </c>
      <c r="H52" s="191">
        <f t="shared" ref="H52:H55" si="92">B52*U52*V52*W52*X52*T52*AB52*AC52</f>
        <v>1021.481112</v>
      </c>
      <c r="I52" s="192">
        <f>((G52+H52+Z52)/1000000)/Y52</f>
        <v>0.05211264207</v>
      </c>
      <c r="J52" s="121">
        <f t="shared" ref="J52:J55" si="93">(I52+(H52+F52*Q52)/1000000)*2</f>
        <v>0.1099574748</v>
      </c>
      <c r="K52" s="122">
        <v>1.2566370612699998E-6</v>
      </c>
      <c r="L52" s="127">
        <v>1.0</v>
      </c>
      <c r="M52" s="123">
        <v>100.0</v>
      </c>
      <c r="N52" s="123">
        <f t="shared" ref="N52:N55" si="94">L52*M52</f>
        <v>100</v>
      </c>
      <c r="O52" s="127">
        <v>0.1</v>
      </c>
      <c r="P52" s="124">
        <v>8151.2</v>
      </c>
      <c r="Q52" s="124">
        <v>100.0</v>
      </c>
      <c r="R52" s="124">
        <f t="shared" ref="R52:R55" si="95">P52+Q52</f>
        <v>8251.2</v>
      </c>
      <c r="S52" s="125">
        <f t="shared" ref="S52:S55" si="96">Q52/R52</f>
        <v>0.01211944929</v>
      </c>
      <c r="T52" s="126">
        <f t="shared" ref="T52:T55" si="97">R52/(2*M52)</f>
        <v>41.256</v>
      </c>
      <c r="U52" s="127">
        <v>325.0</v>
      </c>
      <c r="V52" s="127">
        <v>0.003</v>
      </c>
      <c r="W52" s="128">
        <v>0.34202</v>
      </c>
      <c r="X52" s="123">
        <f t="shared" ref="X52:X55" si="98">2*(L52+M52)*A52</f>
        <v>2020</v>
      </c>
      <c r="Y52" s="123">
        <v>0.055</v>
      </c>
      <c r="Z52" s="123">
        <v>0.1</v>
      </c>
      <c r="AA52" s="129">
        <f t="shared" ref="AA52:AA55" si="99">(2/PI())*atan(L52/(2*O52))</f>
        <v>0.8743340836</v>
      </c>
      <c r="AB52" s="123">
        <v>3.0</v>
      </c>
      <c r="AC52" s="123">
        <v>3.0</v>
      </c>
    </row>
    <row r="53">
      <c r="A53" s="216">
        <v>69.0</v>
      </c>
      <c r="B53" s="217">
        <f t="shared" si="86"/>
        <v>0.0281800861</v>
      </c>
      <c r="C53" s="218">
        <f t="shared" si="87"/>
        <v>50403.23289</v>
      </c>
      <c r="D53" s="45">
        <f t="shared" si="88"/>
        <v>1086.956346</v>
      </c>
      <c r="E53" s="219">
        <f t="shared" si="89"/>
        <v>108695.6346</v>
      </c>
      <c r="F53" s="189">
        <f t="shared" si="90"/>
        <v>878.2208216</v>
      </c>
      <c r="G53" s="220">
        <f t="shared" si="91"/>
        <v>87822.08216</v>
      </c>
      <c r="H53" s="221">
        <f t="shared" si="92"/>
        <v>48632.71574</v>
      </c>
      <c r="I53" s="192">
        <f>((G53+H53+Z52)/1000000)/Y53</f>
        <v>2.480998144</v>
      </c>
      <c r="J53" s="137">
        <f t="shared" si="93"/>
        <v>5.234905883</v>
      </c>
      <c r="K53" s="122">
        <v>1.2566370612699998E-6</v>
      </c>
      <c r="L53" s="127">
        <v>1.0</v>
      </c>
      <c r="M53" s="123">
        <v>100.0</v>
      </c>
      <c r="N53" s="123">
        <f t="shared" si="94"/>
        <v>100</v>
      </c>
      <c r="O53" s="127">
        <v>0.1</v>
      </c>
      <c r="P53" s="124">
        <v>8151.2</v>
      </c>
      <c r="Q53" s="124">
        <v>100.0</v>
      </c>
      <c r="R53" s="124">
        <f t="shared" si="95"/>
        <v>8251.2</v>
      </c>
      <c r="S53" s="125">
        <f t="shared" si="96"/>
        <v>0.01211944929</v>
      </c>
      <c r="T53" s="126">
        <f t="shared" si="97"/>
        <v>41.256</v>
      </c>
      <c r="U53" s="127">
        <v>325.0</v>
      </c>
      <c r="V53" s="127">
        <v>0.003</v>
      </c>
      <c r="W53" s="128">
        <v>0.34202</v>
      </c>
      <c r="X53" s="123">
        <f t="shared" si="98"/>
        <v>13938</v>
      </c>
      <c r="Y53" s="123">
        <v>0.055</v>
      </c>
      <c r="Z53" s="123">
        <v>0.1</v>
      </c>
      <c r="AA53" s="129">
        <f t="shared" si="99"/>
        <v>0.8743340836</v>
      </c>
      <c r="AB53" s="123">
        <v>3.0</v>
      </c>
      <c r="AC53" s="123">
        <v>3.0</v>
      </c>
    </row>
    <row r="54">
      <c r="A54" s="222">
        <v>98.0</v>
      </c>
      <c r="B54" s="223">
        <f t="shared" si="86"/>
        <v>0.0400238904</v>
      </c>
      <c r="C54" s="224">
        <f t="shared" si="87"/>
        <v>101674.5744</v>
      </c>
      <c r="D54" s="225">
        <f t="shared" si="88"/>
        <v>2192.633638</v>
      </c>
      <c r="E54" s="226">
        <f t="shared" si="89"/>
        <v>219263.3638</v>
      </c>
      <c r="F54" s="227">
        <f t="shared" si="90"/>
        <v>1771.56748</v>
      </c>
      <c r="G54" s="228">
        <f t="shared" si="91"/>
        <v>177156.748</v>
      </c>
      <c r="H54" s="229">
        <f t="shared" si="92"/>
        <v>98103.04599</v>
      </c>
      <c r="I54" s="230">
        <f>((G54+H54+Z52)/1000000)/Y54</f>
        <v>5.004725345</v>
      </c>
      <c r="J54" s="146">
        <f t="shared" si="93"/>
        <v>10.55997028</v>
      </c>
      <c r="K54" s="122">
        <v>1.2566370612699998E-6</v>
      </c>
      <c r="L54" s="127">
        <v>1.0</v>
      </c>
      <c r="M54" s="123">
        <v>100.0</v>
      </c>
      <c r="N54" s="123">
        <f t="shared" si="94"/>
        <v>100</v>
      </c>
      <c r="O54" s="127">
        <v>0.1</v>
      </c>
      <c r="P54" s="124">
        <v>8151.2</v>
      </c>
      <c r="Q54" s="124">
        <v>100.0</v>
      </c>
      <c r="R54" s="124">
        <f t="shared" si="95"/>
        <v>8251.2</v>
      </c>
      <c r="S54" s="125">
        <f t="shared" si="96"/>
        <v>0.01211944929</v>
      </c>
      <c r="T54" s="126">
        <f t="shared" si="97"/>
        <v>41.256</v>
      </c>
      <c r="U54" s="127">
        <v>325.0</v>
      </c>
      <c r="V54" s="127">
        <v>0.003</v>
      </c>
      <c r="W54" s="128">
        <v>0.34202</v>
      </c>
      <c r="X54" s="123">
        <f t="shared" si="98"/>
        <v>19796</v>
      </c>
      <c r="Y54" s="123">
        <v>0.055</v>
      </c>
      <c r="Z54" s="123">
        <v>0.1</v>
      </c>
      <c r="AA54" s="129">
        <f t="shared" si="99"/>
        <v>0.8743340836</v>
      </c>
      <c r="AB54" s="123">
        <v>3.0</v>
      </c>
      <c r="AC54" s="123">
        <v>3.0</v>
      </c>
    </row>
    <row r="55">
      <c r="A55" s="248">
        <v>120.0</v>
      </c>
      <c r="B55" s="249">
        <f t="shared" si="86"/>
        <v>0.04900884539</v>
      </c>
      <c r="C55" s="250">
        <f t="shared" si="87"/>
        <v>152448.3414</v>
      </c>
      <c r="D55" s="251">
        <f t="shared" si="88"/>
        <v>3287.580632</v>
      </c>
      <c r="E55" s="250">
        <f t="shared" si="89"/>
        <v>328758.0632</v>
      </c>
      <c r="F55" s="210">
        <f t="shared" si="90"/>
        <v>2656.244451</v>
      </c>
      <c r="G55" s="252">
        <f t="shared" si="91"/>
        <v>265624.4451</v>
      </c>
      <c r="H55" s="253">
        <f t="shared" si="92"/>
        <v>147093.2801</v>
      </c>
      <c r="I55" s="254">
        <f>((G55+H55+Z52)/1000000)/Y55</f>
        <v>7.503960458</v>
      </c>
      <c r="J55" s="154">
        <f t="shared" si="93"/>
        <v>15.83335637</v>
      </c>
      <c r="K55" s="122">
        <v>1.2566370612699998E-6</v>
      </c>
      <c r="L55" s="127">
        <v>1.0</v>
      </c>
      <c r="M55" s="123">
        <v>100.0</v>
      </c>
      <c r="N55" s="123">
        <f t="shared" si="94"/>
        <v>100</v>
      </c>
      <c r="O55" s="127">
        <v>0.1</v>
      </c>
      <c r="P55" s="124">
        <v>8151.2</v>
      </c>
      <c r="Q55" s="124">
        <v>100.0</v>
      </c>
      <c r="R55" s="124">
        <f t="shared" si="95"/>
        <v>8251.2</v>
      </c>
      <c r="S55" s="125">
        <f t="shared" si="96"/>
        <v>0.01211944929</v>
      </c>
      <c r="T55" s="126">
        <f t="shared" si="97"/>
        <v>41.256</v>
      </c>
      <c r="U55" s="127">
        <v>325.0</v>
      </c>
      <c r="V55" s="127">
        <v>0.003</v>
      </c>
      <c r="W55" s="128">
        <v>0.34202</v>
      </c>
      <c r="X55" s="123">
        <f t="shared" si="98"/>
        <v>24240</v>
      </c>
      <c r="Y55" s="123">
        <v>0.055</v>
      </c>
      <c r="Z55" s="123">
        <v>0.1</v>
      </c>
      <c r="AA55" s="129">
        <f t="shared" si="99"/>
        <v>0.8743340836</v>
      </c>
      <c r="AB55" s="123">
        <v>3.0</v>
      </c>
      <c r="AC55" s="123">
        <v>3.0</v>
      </c>
    </row>
    <row r="56">
      <c r="A56" s="157"/>
      <c r="K56" s="157"/>
      <c r="L56" s="157"/>
      <c r="M56" s="157"/>
      <c r="N56" s="157"/>
      <c r="O56" s="157"/>
      <c r="P56" s="157"/>
      <c r="Q56" s="158"/>
      <c r="R56" s="158"/>
      <c r="S56" s="159"/>
      <c r="T56" s="160"/>
      <c r="U56" s="157"/>
      <c r="V56" s="157"/>
      <c r="W56" s="162"/>
      <c r="X56" s="157"/>
      <c r="Y56" s="157"/>
      <c r="Z56" s="157"/>
      <c r="AA56" s="163"/>
      <c r="AB56" s="157"/>
      <c r="AC56" s="157"/>
    </row>
    <row r="57">
      <c r="A57" s="83" t="s">
        <v>59</v>
      </c>
      <c r="B57" s="2"/>
      <c r="C57" s="2"/>
      <c r="D57" s="2"/>
      <c r="E57" s="2"/>
      <c r="F57" s="2"/>
      <c r="G57" s="2"/>
      <c r="H57" s="2"/>
      <c r="I57" s="2"/>
      <c r="J57" s="3"/>
      <c r="K57" s="157"/>
      <c r="L57" s="157"/>
      <c r="M57" s="157"/>
      <c r="N57" s="157"/>
      <c r="O57" s="157"/>
      <c r="P57" s="157"/>
      <c r="Q57" s="158"/>
      <c r="R57" s="158"/>
      <c r="S57" s="159"/>
      <c r="T57" s="84"/>
      <c r="U57" s="157"/>
      <c r="V57" s="157"/>
      <c r="W57" s="162"/>
      <c r="X57" s="157"/>
      <c r="Y57" s="157"/>
      <c r="Z57" s="157"/>
      <c r="AA57" s="163"/>
      <c r="AB57" s="157"/>
      <c r="AC57" s="157"/>
    </row>
    <row r="58">
      <c r="A58" s="88" t="s">
        <v>1</v>
      </c>
      <c r="B58" s="89" t="s">
        <v>2</v>
      </c>
      <c r="C58" s="90" t="s">
        <v>3</v>
      </c>
      <c r="D58" s="90" t="s">
        <v>4</v>
      </c>
      <c r="E58" s="90" t="s">
        <v>5</v>
      </c>
      <c r="F58" s="90" t="s">
        <v>6</v>
      </c>
      <c r="G58" s="89" t="s">
        <v>7</v>
      </c>
      <c r="H58" s="91" t="s">
        <v>8</v>
      </c>
      <c r="I58" s="92" t="s">
        <v>9</v>
      </c>
      <c r="J58" s="93" t="s">
        <v>10</v>
      </c>
      <c r="K58" s="174" t="s">
        <v>11</v>
      </c>
      <c r="L58" s="174" t="s">
        <v>12</v>
      </c>
      <c r="M58" s="174" t="s">
        <v>13</v>
      </c>
      <c r="N58" s="174" t="s">
        <v>14</v>
      </c>
      <c r="O58" s="174" t="s">
        <v>15</v>
      </c>
      <c r="P58" s="174" t="s">
        <v>16</v>
      </c>
      <c r="Q58" s="175" t="s">
        <v>17</v>
      </c>
      <c r="R58" s="174" t="s">
        <v>18</v>
      </c>
      <c r="S58" s="174" t="s">
        <v>19</v>
      </c>
      <c r="T58" s="174" t="s">
        <v>20</v>
      </c>
      <c r="U58" s="174" t="s">
        <v>21</v>
      </c>
      <c r="V58" s="94" t="s">
        <v>22</v>
      </c>
      <c r="W58" s="96" t="s">
        <v>23</v>
      </c>
      <c r="X58" s="94" t="s">
        <v>24</v>
      </c>
      <c r="Y58" s="94" t="s">
        <v>25</v>
      </c>
      <c r="Z58" s="94" t="s">
        <v>26</v>
      </c>
      <c r="AA58" s="97" t="s">
        <v>27</v>
      </c>
      <c r="AB58" s="94" t="s">
        <v>28</v>
      </c>
      <c r="AC58" s="94" t="s">
        <v>29</v>
      </c>
    </row>
    <row r="59">
      <c r="A59" s="98" t="s">
        <v>30</v>
      </c>
      <c r="B59" s="99" t="s">
        <v>31</v>
      </c>
      <c r="C59" s="100" t="s">
        <v>32</v>
      </c>
      <c r="D59" s="101" t="s">
        <v>33</v>
      </c>
      <c r="E59" s="100" t="s">
        <v>34</v>
      </c>
      <c r="F59" s="102" t="s">
        <v>34</v>
      </c>
      <c r="G59" s="103" t="s">
        <v>35</v>
      </c>
      <c r="H59" s="104" t="s">
        <v>35</v>
      </c>
      <c r="I59" s="105" t="s">
        <v>36</v>
      </c>
      <c r="J59" s="106" t="s">
        <v>36</v>
      </c>
      <c r="K59" s="156"/>
      <c r="L59" s="180" t="s">
        <v>38</v>
      </c>
      <c r="M59" s="180" t="s">
        <v>38</v>
      </c>
      <c r="N59" s="180" t="s">
        <v>39</v>
      </c>
      <c r="O59" s="180" t="s">
        <v>38</v>
      </c>
      <c r="P59" s="181" t="s">
        <v>40</v>
      </c>
      <c r="Q59" s="181" t="s">
        <v>40</v>
      </c>
      <c r="R59" s="181" t="s">
        <v>40</v>
      </c>
      <c r="S59" s="181" t="s">
        <v>41</v>
      </c>
      <c r="T59" s="182" t="s">
        <v>42</v>
      </c>
      <c r="U59" s="180" t="s">
        <v>43</v>
      </c>
      <c r="V59" s="108" t="s">
        <v>38</v>
      </c>
      <c r="W59" s="111" t="s">
        <v>30</v>
      </c>
      <c r="X59" s="108" t="s">
        <v>38</v>
      </c>
      <c r="Y59" s="108" t="s">
        <v>30</v>
      </c>
      <c r="Z59" s="108" t="s">
        <v>36</v>
      </c>
      <c r="AA59" s="112" t="s">
        <v>30</v>
      </c>
      <c r="AB59" s="108" t="s">
        <v>30</v>
      </c>
      <c r="AC59" s="108" t="s">
        <v>30</v>
      </c>
    </row>
    <row r="60">
      <c r="A60" s="185">
        <v>10.0</v>
      </c>
      <c r="B60" s="186">
        <f t="shared" ref="B60:B63" si="100">K60*A60*U60/(L60)</f>
        <v>0.008168140898</v>
      </c>
      <c r="C60" s="187">
        <f t="shared" ref="C60:C63" si="101">2*PI()*T60*A60*B60*N60</f>
        <v>1058.669038</v>
      </c>
      <c r="D60" s="188">
        <f t="shared" ref="D60:D63" si="102">(B60*AA60)^2/(4*K60)*AB60*AC60</f>
        <v>68.59380185</v>
      </c>
      <c r="E60" s="187">
        <f t="shared" ref="E60:E63" si="103">D60*N60</f>
        <v>3429.690092</v>
      </c>
      <c r="F60" s="189">
        <f t="shared" ref="F60:F63" si="104">((B60*AA60)^2*N60/(2*K60))*S60*AC60</f>
        <v>27.71063677</v>
      </c>
      <c r="G60" s="190">
        <f t="shared" ref="G60:G63" si="105">F60*Q60</f>
        <v>2771.063677</v>
      </c>
      <c r="H60" s="191">
        <f t="shared" ref="H60:H63" si="106">B60*U60*V60*W60*X60*T60*AB60*AC60</f>
        <v>2032.84855</v>
      </c>
      <c r="I60" s="192">
        <f>((G60+H60+Z60)/1000000)/Y60</f>
        <v>0.08734567686</v>
      </c>
      <c r="J60" s="121">
        <f t="shared" ref="J60:J63" si="107">(I60+(H60+F60*Q60)/1000000)*2</f>
        <v>0.1842991782</v>
      </c>
      <c r="K60" s="122">
        <v>1.2566370612699998E-6</v>
      </c>
      <c r="L60" s="123">
        <v>0.5</v>
      </c>
      <c r="M60" s="123">
        <v>100.0</v>
      </c>
      <c r="N60" s="123">
        <f t="shared" ref="N60:N63" si="108">L60*M60</f>
        <v>50</v>
      </c>
      <c r="O60" s="127">
        <v>0.1</v>
      </c>
      <c r="P60" s="124">
        <v>8151.2</v>
      </c>
      <c r="Q60" s="124">
        <v>100.0</v>
      </c>
      <c r="R60" s="124">
        <f t="shared" ref="R60:R63" si="109">P60+Q60</f>
        <v>8251.2</v>
      </c>
      <c r="S60" s="125">
        <f t="shared" ref="S60:S63" si="110">Q60/R60</f>
        <v>0.01211944929</v>
      </c>
      <c r="T60" s="126">
        <f t="shared" ref="T60:T63" si="111">R60/(2*M60)</f>
        <v>41.256</v>
      </c>
      <c r="U60" s="127">
        <f t="shared" ref="U60:U63" si="112">2*162.5</f>
        <v>325</v>
      </c>
      <c r="V60" s="127">
        <v>0.003</v>
      </c>
      <c r="W60" s="128">
        <v>0.34202</v>
      </c>
      <c r="X60" s="123">
        <f t="shared" ref="X60:X63" si="113">2*(L60+M60)*A60</f>
        <v>2010</v>
      </c>
      <c r="Y60" s="123">
        <v>0.055</v>
      </c>
      <c r="Z60" s="123">
        <v>0.1</v>
      </c>
      <c r="AA60" s="129">
        <f t="shared" ref="AA60:AA63" si="114">(2/PI())*atan(L60/(2*O60))</f>
        <v>0.7577621168</v>
      </c>
      <c r="AB60" s="123">
        <v>3.0</v>
      </c>
      <c r="AC60" s="123">
        <v>3.0</v>
      </c>
    </row>
    <row r="61">
      <c r="A61" s="216">
        <v>69.0</v>
      </c>
      <c r="B61" s="217">
        <f t="shared" si="100"/>
        <v>0.0563601722</v>
      </c>
      <c r="C61" s="218">
        <f t="shared" si="101"/>
        <v>50403.23289</v>
      </c>
      <c r="D61" s="45">
        <f t="shared" si="102"/>
        <v>3265.750906</v>
      </c>
      <c r="E61" s="219">
        <f t="shared" si="103"/>
        <v>163287.5453</v>
      </c>
      <c r="F61" s="189">
        <f t="shared" si="104"/>
        <v>1319.303417</v>
      </c>
      <c r="G61" s="220">
        <f t="shared" si="105"/>
        <v>131930.3417</v>
      </c>
      <c r="H61" s="221">
        <f t="shared" si="106"/>
        <v>96783.91944</v>
      </c>
      <c r="I61" s="192">
        <f>((G61+H61+Z60)/1000000)/Y61</f>
        <v>4.15844293</v>
      </c>
      <c r="J61" s="137">
        <f t="shared" si="107"/>
        <v>8.774314382</v>
      </c>
      <c r="K61" s="122">
        <v>1.2566370612699998E-6</v>
      </c>
      <c r="L61" s="123">
        <v>0.5</v>
      </c>
      <c r="M61" s="123">
        <v>100.0</v>
      </c>
      <c r="N61" s="123">
        <f t="shared" si="108"/>
        <v>50</v>
      </c>
      <c r="O61" s="127">
        <v>0.1</v>
      </c>
      <c r="P61" s="124">
        <v>8151.2</v>
      </c>
      <c r="Q61" s="124">
        <v>100.0</v>
      </c>
      <c r="R61" s="124">
        <f t="shared" si="109"/>
        <v>8251.2</v>
      </c>
      <c r="S61" s="125">
        <f t="shared" si="110"/>
        <v>0.01211944929</v>
      </c>
      <c r="T61" s="126">
        <f t="shared" si="111"/>
        <v>41.256</v>
      </c>
      <c r="U61" s="127">
        <f t="shared" si="112"/>
        <v>325</v>
      </c>
      <c r="V61" s="127">
        <v>0.003</v>
      </c>
      <c r="W61" s="128">
        <v>0.34202</v>
      </c>
      <c r="X61" s="123">
        <f t="shared" si="113"/>
        <v>13869</v>
      </c>
      <c r="Y61" s="123">
        <v>0.055</v>
      </c>
      <c r="Z61" s="123">
        <v>0.1</v>
      </c>
      <c r="AA61" s="129">
        <f t="shared" si="114"/>
        <v>0.7577621168</v>
      </c>
      <c r="AB61" s="123">
        <v>3.0</v>
      </c>
      <c r="AC61" s="123">
        <v>3.0</v>
      </c>
    </row>
    <row r="62">
      <c r="A62" s="222">
        <v>98.0</v>
      </c>
      <c r="B62" s="223">
        <f t="shared" si="100"/>
        <v>0.0800477808</v>
      </c>
      <c r="C62" s="224">
        <f t="shared" si="101"/>
        <v>101674.5744</v>
      </c>
      <c r="D62" s="225">
        <f t="shared" si="102"/>
        <v>6587.748729</v>
      </c>
      <c r="E62" s="226">
        <f t="shared" si="103"/>
        <v>329387.4365</v>
      </c>
      <c r="F62" s="255">
        <f t="shared" si="104"/>
        <v>2661.329556</v>
      </c>
      <c r="G62" s="228">
        <f t="shared" si="105"/>
        <v>266132.9556</v>
      </c>
      <c r="H62" s="229">
        <f t="shared" si="106"/>
        <v>195234.7747</v>
      </c>
      <c r="I62" s="230">
        <f>((G62+H62+Z60)/1000000)/Y62</f>
        <v>8.388506005</v>
      </c>
      <c r="J62" s="146">
        <f t="shared" si="107"/>
        <v>17.69974747</v>
      </c>
      <c r="K62" s="122">
        <v>1.2566370612699998E-6</v>
      </c>
      <c r="L62" s="123">
        <v>0.5</v>
      </c>
      <c r="M62" s="123">
        <v>100.0</v>
      </c>
      <c r="N62" s="123">
        <f t="shared" si="108"/>
        <v>50</v>
      </c>
      <c r="O62" s="127">
        <v>0.1</v>
      </c>
      <c r="P62" s="124">
        <v>8151.2</v>
      </c>
      <c r="Q62" s="124">
        <v>100.0</v>
      </c>
      <c r="R62" s="124">
        <f t="shared" si="109"/>
        <v>8251.2</v>
      </c>
      <c r="S62" s="125">
        <f t="shared" si="110"/>
        <v>0.01211944929</v>
      </c>
      <c r="T62" s="126">
        <f t="shared" si="111"/>
        <v>41.256</v>
      </c>
      <c r="U62" s="127">
        <f t="shared" si="112"/>
        <v>325</v>
      </c>
      <c r="V62" s="127">
        <v>0.003</v>
      </c>
      <c r="W62" s="128">
        <v>0.34202</v>
      </c>
      <c r="X62" s="123">
        <f t="shared" si="113"/>
        <v>19698</v>
      </c>
      <c r="Y62" s="123">
        <v>0.055</v>
      </c>
      <c r="Z62" s="123">
        <v>0.1</v>
      </c>
      <c r="AA62" s="129">
        <f t="shared" si="114"/>
        <v>0.7577621168</v>
      </c>
      <c r="AB62" s="123">
        <v>3.0</v>
      </c>
      <c r="AC62" s="123">
        <v>3.0</v>
      </c>
    </row>
    <row r="63">
      <c r="A63" s="256">
        <v>93.0</v>
      </c>
      <c r="B63" s="249">
        <f t="shared" si="100"/>
        <v>0.07596371035</v>
      </c>
      <c r="C63" s="250">
        <f t="shared" si="101"/>
        <v>91564.28507</v>
      </c>
      <c r="D63" s="251">
        <f t="shared" si="102"/>
        <v>5932.677922</v>
      </c>
      <c r="E63" s="250">
        <f t="shared" si="103"/>
        <v>296633.8961</v>
      </c>
      <c r="F63" s="210">
        <f t="shared" si="104"/>
        <v>2396.692975</v>
      </c>
      <c r="G63" s="252">
        <f t="shared" si="105"/>
        <v>239669.2975</v>
      </c>
      <c r="H63" s="253">
        <f t="shared" si="106"/>
        <v>175821.0711</v>
      </c>
      <c r="I63" s="254">
        <f>((G63+H63+Z60)/1000000)/Y63</f>
        <v>7.554372155</v>
      </c>
      <c r="J63" s="154">
        <f t="shared" si="107"/>
        <v>15.93972505</v>
      </c>
      <c r="K63" s="122">
        <v>1.2566370612699998E-6</v>
      </c>
      <c r="L63" s="123">
        <v>0.5</v>
      </c>
      <c r="M63" s="123">
        <v>100.0</v>
      </c>
      <c r="N63" s="123">
        <f t="shared" si="108"/>
        <v>50</v>
      </c>
      <c r="O63" s="127">
        <v>0.1</v>
      </c>
      <c r="P63" s="124">
        <v>8151.2</v>
      </c>
      <c r="Q63" s="124">
        <v>100.0</v>
      </c>
      <c r="R63" s="124">
        <f t="shared" si="109"/>
        <v>8251.2</v>
      </c>
      <c r="S63" s="125">
        <f t="shared" si="110"/>
        <v>0.01211944929</v>
      </c>
      <c r="T63" s="126">
        <f t="shared" si="111"/>
        <v>41.256</v>
      </c>
      <c r="U63" s="127">
        <f t="shared" si="112"/>
        <v>325</v>
      </c>
      <c r="V63" s="127">
        <v>0.003</v>
      </c>
      <c r="W63" s="128">
        <v>0.34202</v>
      </c>
      <c r="X63" s="123">
        <f t="shared" si="113"/>
        <v>18693</v>
      </c>
      <c r="Y63" s="123">
        <v>0.055</v>
      </c>
      <c r="Z63" s="123">
        <v>0.1</v>
      </c>
      <c r="AA63" s="129">
        <f t="shared" si="114"/>
        <v>0.7577621168</v>
      </c>
      <c r="AB63" s="123">
        <v>3.0</v>
      </c>
      <c r="AC63" s="123">
        <v>3.0</v>
      </c>
    </row>
    <row r="64">
      <c r="W64" s="257"/>
      <c r="AA64" s="258"/>
    </row>
    <row r="65">
      <c r="W65" s="257"/>
      <c r="AA65" s="258"/>
    </row>
    <row r="66">
      <c r="W66" s="257"/>
      <c r="AA66" s="258"/>
    </row>
    <row r="67">
      <c r="W67" s="257"/>
      <c r="AA67" s="258"/>
    </row>
    <row r="68">
      <c r="W68" s="257"/>
      <c r="AA68" s="258"/>
    </row>
    <row r="69">
      <c r="W69" s="257"/>
      <c r="AA69" s="258"/>
    </row>
    <row r="70">
      <c r="W70" s="257"/>
      <c r="AA70" s="258"/>
    </row>
    <row r="71">
      <c r="W71" s="257"/>
      <c r="AA71" s="258"/>
    </row>
    <row r="72">
      <c r="W72" s="257"/>
      <c r="AA72" s="258"/>
    </row>
    <row r="73">
      <c r="W73" s="257"/>
      <c r="AA73" s="258"/>
    </row>
    <row r="74">
      <c r="W74" s="257"/>
      <c r="AA74" s="258"/>
    </row>
    <row r="75">
      <c r="W75" s="257"/>
      <c r="AA75" s="258"/>
    </row>
    <row r="76">
      <c r="W76" s="257"/>
      <c r="AA76" s="258"/>
    </row>
    <row r="77">
      <c r="W77" s="257"/>
      <c r="AA77" s="258"/>
    </row>
    <row r="78">
      <c r="W78" s="257"/>
      <c r="AA78" s="258"/>
    </row>
    <row r="79">
      <c r="W79" s="257"/>
      <c r="AA79" s="258"/>
    </row>
    <row r="80">
      <c r="W80" s="257"/>
      <c r="AA80" s="258"/>
    </row>
    <row r="81">
      <c r="W81" s="257"/>
      <c r="AA81" s="258"/>
    </row>
    <row r="82">
      <c r="W82" s="257"/>
      <c r="AA82" s="258"/>
    </row>
    <row r="83">
      <c r="W83" s="257"/>
      <c r="AA83" s="258"/>
    </row>
    <row r="84">
      <c r="W84" s="257"/>
      <c r="AA84" s="258"/>
    </row>
    <row r="85">
      <c r="W85" s="257"/>
      <c r="AA85" s="258"/>
    </row>
    <row r="86">
      <c r="W86" s="257"/>
      <c r="AA86" s="258"/>
    </row>
    <row r="87">
      <c r="W87" s="257"/>
      <c r="AA87" s="258"/>
    </row>
    <row r="88">
      <c r="W88" s="257"/>
      <c r="AA88" s="258"/>
    </row>
    <row r="89">
      <c r="W89" s="257"/>
      <c r="AA89" s="258"/>
    </row>
    <row r="90">
      <c r="W90" s="257"/>
      <c r="AA90" s="258"/>
    </row>
    <row r="91">
      <c r="W91" s="257"/>
      <c r="AA91" s="258"/>
    </row>
    <row r="92">
      <c r="W92" s="257"/>
      <c r="AA92" s="258"/>
    </row>
    <row r="93">
      <c r="W93" s="257"/>
      <c r="AA93" s="258"/>
    </row>
    <row r="94">
      <c r="W94" s="257"/>
      <c r="AA94" s="258"/>
    </row>
    <row r="95">
      <c r="W95" s="257"/>
      <c r="AA95" s="258"/>
    </row>
    <row r="96">
      <c r="W96" s="257"/>
      <c r="AA96" s="258"/>
    </row>
    <row r="97">
      <c r="W97" s="257"/>
      <c r="AA97" s="258"/>
    </row>
    <row r="98">
      <c r="W98" s="257"/>
      <c r="AA98" s="258"/>
    </row>
    <row r="99">
      <c r="W99" s="257"/>
      <c r="AA99" s="258"/>
    </row>
    <row r="100">
      <c r="W100" s="257"/>
      <c r="AA100" s="258"/>
    </row>
    <row r="101">
      <c r="W101" s="257"/>
      <c r="AA101" s="258"/>
    </row>
    <row r="102">
      <c r="W102" s="257"/>
      <c r="AA102" s="258"/>
    </row>
    <row r="103">
      <c r="W103" s="257"/>
      <c r="AA103" s="258"/>
    </row>
    <row r="104">
      <c r="W104" s="257"/>
      <c r="AA104" s="258"/>
    </row>
    <row r="105">
      <c r="W105" s="257"/>
      <c r="AA105" s="258"/>
    </row>
    <row r="106">
      <c r="W106" s="257"/>
      <c r="AA106" s="258"/>
    </row>
    <row r="107">
      <c r="W107" s="257"/>
      <c r="AA107" s="258"/>
    </row>
    <row r="108">
      <c r="W108" s="257"/>
      <c r="AA108" s="258"/>
    </row>
    <row r="109">
      <c r="W109" s="257"/>
      <c r="AA109" s="258"/>
    </row>
    <row r="110">
      <c r="W110" s="257"/>
      <c r="AA110" s="258"/>
    </row>
    <row r="111">
      <c r="W111" s="257"/>
      <c r="AA111" s="258"/>
    </row>
    <row r="112">
      <c r="W112" s="257"/>
      <c r="AA112" s="258"/>
    </row>
    <row r="113">
      <c r="W113" s="257"/>
      <c r="AA113" s="258"/>
    </row>
    <row r="114">
      <c r="W114" s="257"/>
      <c r="AA114" s="258"/>
    </row>
    <row r="115">
      <c r="W115" s="257"/>
      <c r="AA115" s="258"/>
    </row>
    <row r="116">
      <c r="W116" s="257"/>
      <c r="AA116" s="258"/>
    </row>
    <row r="117">
      <c r="W117" s="257"/>
      <c r="AA117" s="258"/>
    </row>
    <row r="118">
      <c r="W118" s="257"/>
      <c r="AA118" s="258"/>
    </row>
    <row r="119">
      <c r="W119" s="257"/>
      <c r="AA119" s="258"/>
    </row>
    <row r="120">
      <c r="W120" s="257"/>
      <c r="AA120" s="258"/>
    </row>
    <row r="121">
      <c r="W121" s="257"/>
      <c r="AA121" s="258"/>
    </row>
    <row r="122">
      <c r="W122" s="257"/>
      <c r="AA122" s="258"/>
    </row>
    <row r="123">
      <c r="W123" s="257"/>
      <c r="AA123" s="258"/>
    </row>
    <row r="124">
      <c r="W124" s="257"/>
      <c r="AA124" s="258"/>
    </row>
    <row r="125">
      <c r="W125" s="257"/>
      <c r="AA125" s="258"/>
    </row>
    <row r="126">
      <c r="W126" s="257"/>
      <c r="AA126" s="258"/>
    </row>
    <row r="127">
      <c r="W127" s="257"/>
      <c r="AA127" s="258"/>
    </row>
    <row r="128">
      <c r="W128" s="257"/>
      <c r="AA128" s="258"/>
    </row>
    <row r="129">
      <c r="W129" s="257"/>
      <c r="AA129" s="258"/>
    </row>
    <row r="130">
      <c r="W130" s="257"/>
      <c r="AA130" s="258"/>
    </row>
    <row r="131">
      <c r="W131" s="257"/>
      <c r="AA131" s="258"/>
    </row>
    <row r="132">
      <c r="W132" s="257"/>
      <c r="AA132" s="258"/>
    </row>
    <row r="133">
      <c r="W133" s="257"/>
      <c r="AA133" s="258"/>
    </row>
    <row r="134">
      <c r="W134" s="257"/>
      <c r="AA134" s="258"/>
    </row>
    <row r="135">
      <c r="W135" s="257"/>
      <c r="AA135" s="258"/>
    </row>
    <row r="136">
      <c r="W136" s="257"/>
      <c r="AA136" s="258"/>
    </row>
    <row r="137">
      <c r="W137" s="257"/>
      <c r="AA137" s="258"/>
    </row>
    <row r="138">
      <c r="W138" s="257"/>
      <c r="AA138" s="258"/>
    </row>
    <row r="139">
      <c r="W139" s="257"/>
      <c r="AA139" s="258"/>
    </row>
    <row r="140">
      <c r="W140" s="257"/>
      <c r="AA140" s="258"/>
    </row>
    <row r="141">
      <c r="W141" s="257"/>
      <c r="AA141" s="258"/>
    </row>
    <row r="142">
      <c r="W142" s="257"/>
      <c r="AA142" s="258"/>
    </row>
    <row r="143">
      <c r="W143" s="257"/>
      <c r="AA143" s="258"/>
    </row>
    <row r="144">
      <c r="W144" s="257"/>
      <c r="AA144" s="258"/>
    </row>
    <row r="145">
      <c r="W145" s="257"/>
      <c r="AA145" s="258"/>
    </row>
    <row r="146">
      <c r="W146" s="257"/>
      <c r="AA146" s="258"/>
    </row>
    <row r="147">
      <c r="W147" s="257"/>
      <c r="AA147" s="258"/>
    </row>
    <row r="148">
      <c r="W148" s="257"/>
      <c r="AA148" s="258"/>
    </row>
    <row r="149">
      <c r="W149" s="257"/>
      <c r="AA149" s="258"/>
    </row>
    <row r="150">
      <c r="W150" s="257"/>
      <c r="AA150" s="258"/>
    </row>
    <row r="151">
      <c r="W151" s="257"/>
      <c r="AA151" s="258"/>
    </row>
    <row r="152">
      <c r="W152" s="257"/>
      <c r="AA152" s="258"/>
    </row>
    <row r="153">
      <c r="W153" s="257"/>
      <c r="AA153" s="258"/>
    </row>
    <row r="154">
      <c r="W154" s="257"/>
      <c r="AA154" s="258"/>
    </row>
    <row r="155">
      <c r="W155" s="257"/>
      <c r="AA155" s="258"/>
    </row>
    <row r="156">
      <c r="W156" s="257"/>
      <c r="AA156" s="258"/>
    </row>
    <row r="157">
      <c r="W157" s="257"/>
      <c r="AA157" s="258"/>
    </row>
    <row r="158">
      <c r="W158" s="257"/>
      <c r="AA158" s="258"/>
    </row>
    <row r="159">
      <c r="W159" s="257"/>
      <c r="AA159" s="258"/>
    </row>
    <row r="160">
      <c r="W160" s="257"/>
      <c r="AA160" s="258"/>
    </row>
    <row r="161">
      <c r="W161" s="257"/>
      <c r="AA161" s="258"/>
    </row>
    <row r="162">
      <c r="W162" s="257"/>
      <c r="AA162" s="258"/>
    </row>
    <row r="163">
      <c r="W163" s="257"/>
      <c r="AA163" s="258"/>
    </row>
    <row r="164">
      <c r="W164" s="257"/>
      <c r="AA164" s="258"/>
    </row>
    <row r="165">
      <c r="W165" s="257"/>
      <c r="AA165" s="258"/>
    </row>
    <row r="166">
      <c r="W166" s="257"/>
      <c r="AA166" s="258"/>
    </row>
    <row r="167">
      <c r="W167" s="257"/>
      <c r="AA167" s="258"/>
    </row>
    <row r="168">
      <c r="W168" s="257"/>
      <c r="AA168" s="258"/>
    </row>
    <row r="169">
      <c r="W169" s="257"/>
      <c r="AA169" s="258"/>
    </row>
    <row r="170">
      <c r="W170" s="257"/>
      <c r="AA170" s="258"/>
    </row>
    <row r="171">
      <c r="W171" s="257"/>
      <c r="AA171" s="258"/>
    </row>
    <row r="172">
      <c r="W172" s="257"/>
      <c r="AA172" s="258"/>
    </row>
    <row r="173">
      <c r="W173" s="257"/>
      <c r="AA173" s="258"/>
    </row>
    <row r="174">
      <c r="W174" s="257"/>
      <c r="AA174" s="258"/>
    </row>
    <row r="175">
      <c r="W175" s="257"/>
      <c r="AA175" s="258"/>
    </row>
    <row r="176">
      <c r="W176" s="257"/>
      <c r="AA176" s="258"/>
    </row>
    <row r="177">
      <c r="W177" s="257"/>
      <c r="AA177" s="258"/>
    </row>
    <row r="178">
      <c r="W178" s="257"/>
      <c r="AA178" s="258"/>
    </row>
    <row r="179">
      <c r="W179" s="257"/>
      <c r="AA179" s="258"/>
    </row>
    <row r="180">
      <c r="W180" s="257"/>
      <c r="AA180" s="258"/>
    </row>
    <row r="181">
      <c r="W181" s="257"/>
      <c r="AA181" s="258"/>
    </row>
    <row r="182">
      <c r="W182" s="257"/>
      <c r="AA182" s="258"/>
    </row>
    <row r="183">
      <c r="W183" s="257"/>
      <c r="AA183" s="258"/>
    </row>
    <row r="184">
      <c r="W184" s="257"/>
      <c r="AA184" s="258"/>
    </row>
    <row r="185">
      <c r="W185" s="257"/>
      <c r="AA185" s="258"/>
    </row>
    <row r="186">
      <c r="W186" s="257"/>
      <c r="AA186" s="258"/>
    </row>
    <row r="187">
      <c r="W187" s="257"/>
      <c r="AA187" s="258"/>
    </row>
    <row r="188">
      <c r="W188" s="257"/>
      <c r="AA188" s="258"/>
    </row>
    <row r="189">
      <c r="W189" s="257"/>
      <c r="AA189" s="258"/>
    </row>
    <row r="190">
      <c r="W190" s="257"/>
      <c r="AA190" s="258"/>
    </row>
    <row r="191">
      <c r="W191" s="257"/>
      <c r="AA191" s="258"/>
    </row>
    <row r="192">
      <c r="W192" s="257"/>
      <c r="AA192" s="258"/>
    </row>
    <row r="193">
      <c r="W193" s="257"/>
      <c r="AA193" s="258"/>
    </row>
    <row r="194">
      <c r="W194" s="257"/>
      <c r="AA194" s="258"/>
    </row>
    <row r="195">
      <c r="W195" s="257"/>
      <c r="AA195" s="258"/>
    </row>
    <row r="196">
      <c r="W196" s="257"/>
      <c r="AA196" s="258"/>
    </row>
    <row r="197">
      <c r="W197" s="257"/>
      <c r="AA197" s="258"/>
    </row>
    <row r="198">
      <c r="W198" s="257"/>
      <c r="AA198" s="258"/>
    </row>
    <row r="199">
      <c r="W199" s="257"/>
      <c r="AA199" s="258"/>
    </row>
    <row r="200">
      <c r="W200" s="257"/>
      <c r="AA200" s="258"/>
    </row>
    <row r="201">
      <c r="W201" s="257"/>
      <c r="AA201" s="258"/>
    </row>
    <row r="202">
      <c r="W202" s="257"/>
      <c r="AA202" s="258"/>
    </row>
    <row r="203">
      <c r="W203" s="257"/>
      <c r="AA203" s="258"/>
    </row>
    <row r="204">
      <c r="W204" s="257"/>
      <c r="AA204" s="258"/>
    </row>
    <row r="205">
      <c r="W205" s="257"/>
      <c r="AA205" s="258"/>
    </row>
    <row r="206">
      <c r="W206" s="257"/>
      <c r="AA206" s="258"/>
    </row>
    <row r="207">
      <c r="W207" s="257"/>
      <c r="AA207" s="258"/>
    </row>
    <row r="208">
      <c r="W208" s="257"/>
      <c r="AA208" s="258"/>
    </row>
    <row r="209">
      <c r="W209" s="257"/>
      <c r="AA209" s="258"/>
    </row>
    <row r="210">
      <c r="W210" s="257"/>
      <c r="AA210" s="258"/>
    </row>
    <row r="211">
      <c r="W211" s="257"/>
      <c r="AA211" s="258"/>
    </row>
    <row r="212">
      <c r="W212" s="257"/>
      <c r="AA212" s="258"/>
    </row>
    <row r="213">
      <c r="W213" s="257"/>
      <c r="AA213" s="258"/>
    </row>
    <row r="214">
      <c r="W214" s="257"/>
      <c r="AA214" s="258"/>
    </row>
    <row r="215">
      <c r="W215" s="257"/>
      <c r="AA215" s="258"/>
    </row>
    <row r="216">
      <c r="W216" s="257"/>
      <c r="AA216" s="258"/>
    </row>
    <row r="217">
      <c r="W217" s="257"/>
      <c r="AA217" s="258"/>
    </row>
    <row r="218">
      <c r="W218" s="257"/>
      <c r="AA218" s="258"/>
    </row>
    <row r="219">
      <c r="W219" s="257"/>
      <c r="AA219" s="258"/>
    </row>
    <row r="220">
      <c r="W220" s="257"/>
      <c r="AA220" s="258"/>
    </row>
    <row r="221">
      <c r="W221" s="257"/>
      <c r="AA221" s="258"/>
    </row>
    <row r="222">
      <c r="W222" s="257"/>
      <c r="AA222" s="258"/>
    </row>
    <row r="223">
      <c r="W223" s="257"/>
      <c r="AA223" s="258"/>
    </row>
    <row r="224">
      <c r="W224" s="257"/>
      <c r="AA224" s="258"/>
    </row>
    <row r="225">
      <c r="W225" s="257"/>
      <c r="AA225" s="258"/>
    </row>
    <row r="226">
      <c r="W226" s="257"/>
      <c r="AA226" s="258"/>
    </row>
    <row r="227">
      <c r="W227" s="257"/>
      <c r="AA227" s="258"/>
    </row>
    <row r="228">
      <c r="W228" s="257"/>
      <c r="AA228" s="258"/>
    </row>
    <row r="229">
      <c r="W229" s="257"/>
      <c r="AA229" s="258"/>
    </row>
    <row r="230">
      <c r="W230" s="257"/>
      <c r="AA230" s="258"/>
    </row>
    <row r="231">
      <c r="W231" s="257"/>
      <c r="AA231" s="258"/>
    </row>
    <row r="232">
      <c r="W232" s="257"/>
      <c r="AA232" s="258"/>
    </row>
    <row r="233">
      <c r="W233" s="257"/>
      <c r="AA233" s="258"/>
    </row>
    <row r="234">
      <c r="W234" s="257"/>
      <c r="AA234" s="258"/>
    </row>
    <row r="235">
      <c r="W235" s="257"/>
      <c r="AA235" s="258"/>
    </row>
    <row r="236">
      <c r="W236" s="257"/>
      <c r="AA236" s="258"/>
    </row>
    <row r="237">
      <c r="W237" s="257"/>
      <c r="AA237" s="258"/>
    </row>
    <row r="238">
      <c r="W238" s="257"/>
      <c r="AA238" s="258"/>
    </row>
    <row r="239">
      <c r="W239" s="257"/>
      <c r="AA239" s="258"/>
    </row>
    <row r="240">
      <c r="W240" s="257"/>
      <c r="AA240" s="258"/>
    </row>
    <row r="241">
      <c r="W241" s="257"/>
      <c r="AA241" s="258"/>
    </row>
    <row r="242">
      <c r="W242" s="257"/>
      <c r="AA242" s="258"/>
    </row>
    <row r="243">
      <c r="W243" s="257"/>
      <c r="AA243" s="258"/>
    </row>
    <row r="244">
      <c r="W244" s="257"/>
      <c r="AA244" s="258"/>
    </row>
    <row r="245">
      <c r="W245" s="257"/>
      <c r="AA245" s="258"/>
    </row>
    <row r="246">
      <c r="W246" s="257"/>
      <c r="AA246" s="258"/>
    </row>
    <row r="247">
      <c r="W247" s="257"/>
      <c r="AA247" s="258"/>
    </row>
    <row r="248">
      <c r="W248" s="257"/>
      <c r="AA248" s="258"/>
    </row>
    <row r="249">
      <c r="W249" s="257"/>
      <c r="AA249" s="258"/>
    </row>
    <row r="250">
      <c r="W250" s="257"/>
      <c r="AA250" s="258"/>
    </row>
    <row r="251">
      <c r="W251" s="257"/>
      <c r="AA251" s="258"/>
    </row>
    <row r="252">
      <c r="W252" s="257"/>
      <c r="AA252" s="258"/>
    </row>
    <row r="253">
      <c r="W253" s="257"/>
      <c r="AA253" s="258"/>
    </row>
    <row r="254">
      <c r="W254" s="257"/>
      <c r="AA254" s="258"/>
    </row>
    <row r="255">
      <c r="W255" s="257"/>
      <c r="AA255" s="258"/>
    </row>
    <row r="256">
      <c r="W256" s="257"/>
      <c r="AA256" s="258"/>
    </row>
    <row r="257">
      <c r="W257" s="257"/>
      <c r="AA257" s="258"/>
    </row>
    <row r="258">
      <c r="W258" s="257"/>
      <c r="AA258" s="258"/>
    </row>
    <row r="259">
      <c r="W259" s="257"/>
      <c r="AA259" s="258"/>
    </row>
    <row r="260">
      <c r="W260" s="257"/>
      <c r="AA260" s="258"/>
    </row>
    <row r="261">
      <c r="W261" s="257"/>
      <c r="AA261" s="258"/>
    </row>
    <row r="262">
      <c r="W262" s="257"/>
      <c r="AA262" s="258"/>
    </row>
    <row r="263">
      <c r="W263" s="257"/>
      <c r="AA263" s="258"/>
    </row>
    <row r="264">
      <c r="W264" s="257"/>
      <c r="AA264" s="258"/>
    </row>
    <row r="265">
      <c r="W265" s="257"/>
      <c r="AA265" s="258"/>
    </row>
    <row r="266">
      <c r="W266" s="257"/>
      <c r="AA266" s="258"/>
    </row>
    <row r="267">
      <c r="W267" s="257"/>
      <c r="AA267" s="258"/>
    </row>
    <row r="268">
      <c r="W268" s="257"/>
      <c r="AA268" s="258"/>
    </row>
    <row r="269">
      <c r="W269" s="257"/>
      <c r="AA269" s="258"/>
    </row>
    <row r="270">
      <c r="W270" s="257"/>
      <c r="AA270" s="258"/>
    </row>
    <row r="271">
      <c r="W271" s="257"/>
      <c r="AA271" s="258"/>
    </row>
    <row r="272">
      <c r="W272" s="257"/>
      <c r="AA272" s="258"/>
    </row>
    <row r="273">
      <c r="W273" s="257"/>
      <c r="AA273" s="258"/>
    </row>
    <row r="274">
      <c r="W274" s="257"/>
      <c r="AA274" s="258"/>
    </row>
    <row r="275">
      <c r="W275" s="257"/>
      <c r="AA275" s="258"/>
    </row>
    <row r="276">
      <c r="W276" s="257"/>
      <c r="AA276" s="258"/>
    </row>
    <row r="277">
      <c r="W277" s="257"/>
      <c r="AA277" s="258"/>
    </row>
    <row r="278">
      <c r="W278" s="257"/>
      <c r="AA278" s="258"/>
    </row>
    <row r="279">
      <c r="W279" s="257"/>
      <c r="AA279" s="258"/>
    </row>
    <row r="280">
      <c r="W280" s="257"/>
      <c r="AA280" s="258"/>
    </row>
    <row r="281">
      <c r="W281" s="257"/>
      <c r="AA281" s="258"/>
    </row>
    <row r="282">
      <c r="W282" s="257"/>
      <c r="AA282" s="258"/>
    </row>
    <row r="283">
      <c r="W283" s="257"/>
      <c r="AA283" s="258"/>
    </row>
    <row r="284">
      <c r="W284" s="257"/>
      <c r="AA284" s="258"/>
    </row>
    <row r="285">
      <c r="W285" s="257"/>
      <c r="AA285" s="258"/>
    </row>
    <row r="286">
      <c r="W286" s="257"/>
      <c r="AA286" s="258"/>
    </row>
    <row r="287">
      <c r="W287" s="257"/>
      <c r="AA287" s="258"/>
    </row>
    <row r="288">
      <c r="W288" s="257"/>
      <c r="AA288" s="258"/>
    </row>
    <row r="289">
      <c r="W289" s="257"/>
      <c r="AA289" s="258"/>
    </row>
    <row r="290">
      <c r="W290" s="257"/>
      <c r="AA290" s="258"/>
    </row>
    <row r="291">
      <c r="W291" s="257"/>
      <c r="AA291" s="258"/>
    </row>
    <row r="292">
      <c r="W292" s="257"/>
      <c r="AA292" s="258"/>
    </row>
    <row r="293">
      <c r="W293" s="257"/>
      <c r="AA293" s="258"/>
    </row>
    <row r="294">
      <c r="W294" s="257"/>
      <c r="AA294" s="258"/>
    </row>
    <row r="295">
      <c r="W295" s="257"/>
      <c r="AA295" s="258"/>
    </row>
    <row r="296">
      <c r="W296" s="257"/>
      <c r="AA296" s="258"/>
    </row>
    <row r="297">
      <c r="W297" s="257"/>
      <c r="AA297" s="258"/>
    </row>
    <row r="298">
      <c r="W298" s="257"/>
      <c r="AA298" s="258"/>
    </row>
    <row r="299">
      <c r="W299" s="257"/>
      <c r="AA299" s="258"/>
    </row>
    <row r="300">
      <c r="W300" s="257"/>
      <c r="AA300" s="258"/>
    </row>
    <row r="301">
      <c r="W301" s="257"/>
      <c r="AA301" s="258"/>
    </row>
    <row r="302">
      <c r="W302" s="257"/>
      <c r="AA302" s="258"/>
    </row>
    <row r="303">
      <c r="W303" s="257"/>
      <c r="AA303" s="258"/>
    </row>
    <row r="304">
      <c r="W304" s="257"/>
      <c r="AA304" s="258"/>
    </row>
    <row r="305">
      <c r="W305" s="257"/>
      <c r="AA305" s="258"/>
    </row>
    <row r="306">
      <c r="W306" s="257"/>
      <c r="AA306" s="258"/>
    </row>
    <row r="307">
      <c r="W307" s="257"/>
      <c r="AA307" s="258"/>
    </row>
    <row r="308">
      <c r="W308" s="257"/>
      <c r="AA308" s="258"/>
    </row>
    <row r="309">
      <c r="W309" s="257"/>
      <c r="AA309" s="258"/>
    </row>
    <row r="310">
      <c r="W310" s="257"/>
      <c r="AA310" s="258"/>
    </row>
    <row r="311">
      <c r="W311" s="257"/>
      <c r="AA311" s="258"/>
    </row>
    <row r="312">
      <c r="W312" s="257"/>
      <c r="AA312" s="258"/>
    </row>
    <row r="313">
      <c r="W313" s="257"/>
      <c r="AA313" s="258"/>
    </row>
    <row r="314">
      <c r="W314" s="257"/>
      <c r="AA314" s="258"/>
    </row>
    <row r="315">
      <c r="W315" s="257"/>
      <c r="AA315" s="258"/>
    </row>
    <row r="316">
      <c r="W316" s="257"/>
      <c r="AA316" s="258"/>
    </row>
    <row r="317">
      <c r="W317" s="257"/>
      <c r="AA317" s="258"/>
    </row>
    <row r="318">
      <c r="W318" s="257"/>
      <c r="AA318" s="258"/>
    </row>
    <row r="319">
      <c r="W319" s="257"/>
      <c r="AA319" s="258"/>
    </row>
    <row r="320">
      <c r="W320" s="257"/>
      <c r="AA320" s="258"/>
    </row>
    <row r="321">
      <c r="W321" s="257"/>
      <c r="AA321" s="258"/>
    </row>
    <row r="322">
      <c r="W322" s="257"/>
      <c r="AA322" s="258"/>
    </row>
    <row r="323">
      <c r="W323" s="257"/>
      <c r="AA323" s="258"/>
    </row>
    <row r="324">
      <c r="W324" s="257"/>
      <c r="AA324" s="258"/>
    </row>
    <row r="325">
      <c r="W325" s="257"/>
      <c r="AA325" s="258"/>
    </row>
    <row r="326">
      <c r="W326" s="257"/>
      <c r="AA326" s="258"/>
    </row>
    <row r="327">
      <c r="W327" s="257"/>
      <c r="AA327" s="258"/>
    </row>
    <row r="328">
      <c r="W328" s="257"/>
      <c r="AA328" s="258"/>
    </row>
    <row r="329">
      <c r="W329" s="257"/>
      <c r="AA329" s="258"/>
    </row>
    <row r="330">
      <c r="W330" s="257"/>
      <c r="AA330" s="258"/>
    </row>
    <row r="331">
      <c r="W331" s="257"/>
      <c r="AA331" s="258"/>
    </row>
    <row r="332">
      <c r="W332" s="257"/>
      <c r="AA332" s="258"/>
    </row>
    <row r="333">
      <c r="W333" s="257"/>
      <c r="AA333" s="258"/>
    </row>
    <row r="334">
      <c r="W334" s="257"/>
      <c r="AA334" s="258"/>
    </row>
    <row r="335">
      <c r="W335" s="257"/>
      <c r="AA335" s="258"/>
    </row>
    <row r="336">
      <c r="W336" s="257"/>
      <c r="AA336" s="258"/>
    </row>
    <row r="337">
      <c r="W337" s="257"/>
      <c r="AA337" s="258"/>
    </row>
    <row r="338">
      <c r="W338" s="257"/>
      <c r="AA338" s="258"/>
    </row>
    <row r="339">
      <c r="W339" s="257"/>
      <c r="AA339" s="258"/>
    </row>
    <row r="340">
      <c r="W340" s="257"/>
      <c r="AA340" s="258"/>
    </row>
    <row r="341">
      <c r="W341" s="257"/>
      <c r="AA341" s="258"/>
    </row>
    <row r="342">
      <c r="W342" s="257"/>
      <c r="AA342" s="258"/>
    </row>
    <row r="343">
      <c r="W343" s="257"/>
      <c r="AA343" s="258"/>
    </row>
    <row r="344">
      <c r="W344" s="257"/>
      <c r="AA344" s="258"/>
    </row>
    <row r="345">
      <c r="W345" s="257"/>
      <c r="AA345" s="258"/>
    </row>
    <row r="346">
      <c r="W346" s="257"/>
      <c r="AA346" s="258"/>
    </row>
    <row r="347">
      <c r="W347" s="257"/>
      <c r="AA347" s="258"/>
    </row>
    <row r="348">
      <c r="W348" s="257"/>
      <c r="AA348" s="258"/>
    </row>
    <row r="349">
      <c r="W349" s="257"/>
      <c r="AA349" s="258"/>
    </row>
    <row r="350">
      <c r="W350" s="257"/>
      <c r="AA350" s="258"/>
    </row>
    <row r="351">
      <c r="W351" s="257"/>
      <c r="AA351" s="258"/>
    </row>
    <row r="352">
      <c r="W352" s="257"/>
      <c r="AA352" s="258"/>
    </row>
    <row r="353">
      <c r="W353" s="257"/>
      <c r="AA353" s="258"/>
    </row>
    <row r="354">
      <c r="W354" s="257"/>
      <c r="AA354" s="258"/>
    </row>
    <row r="355">
      <c r="W355" s="257"/>
      <c r="AA355" s="258"/>
    </row>
    <row r="356">
      <c r="W356" s="257"/>
      <c r="AA356" s="258"/>
    </row>
    <row r="357">
      <c r="W357" s="257"/>
      <c r="AA357" s="258"/>
    </row>
    <row r="358">
      <c r="W358" s="257"/>
      <c r="AA358" s="258"/>
    </row>
    <row r="359">
      <c r="W359" s="257"/>
      <c r="AA359" s="258"/>
    </row>
    <row r="360">
      <c r="W360" s="257"/>
      <c r="AA360" s="258"/>
    </row>
    <row r="361">
      <c r="W361" s="257"/>
      <c r="AA361" s="258"/>
    </row>
    <row r="362">
      <c r="W362" s="257"/>
      <c r="AA362" s="258"/>
    </row>
    <row r="363">
      <c r="W363" s="257"/>
      <c r="AA363" s="258"/>
    </row>
    <row r="364">
      <c r="W364" s="257"/>
      <c r="AA364" s="258"/>
    </row>
    <row r="365">
      <c r="W365" s="257"/>
      <c r="AA365" s="258"/>
    </row>
    <row r="366">
      <c r="W366" s="257"/>
      <c r="AA366" s="258"/>
    </row>
    <row r="367">
      <c r="W367" s="257"/>
      <c r="AA367" s="258"/>
    </row>
    <row r="368">
      <c r="W368" s="257"/>
      <c r="AA368" s="258"/>
    </row>
    <row r="369">
      <c r="W369" s="257"/>
      <c r="AA369" s="258"/>
    </row>
    <row r="370">
      <c r="W370" s="257"/>
      <c r="AA370" s="258"/>
    </row>
    <row r="371">
      <c r="W371" s="257"/>
      <c r="AA371" s="258"/>
    </row>
    <row r="372">
      <c r="W372" s="257"/>
      <c r="AA372" s="258"/>
    </row>
    <row r="373">
      <c r="W373" s="257"/>
      <c r="AA373" s="258"/>
    </row>
    <row r="374">
      <c r="W374" s="257"/>
      <c r="AA374" s="258"/>
    </row>
    <row r="375">
      <c r="W375" s="257"/>
      <c r="AA375" s="258"/>
    </row>
    <row r="376">
      <c r="W376" s="257"/>
      <c r="AA376" s="258"/>
    </row>
    <row r="377">
      <c r="W377" s="257"/>
      <c r="AA377" s="258"/>
    </row>
    <row r="378">
      <c r="W378" s="257"/>
      <c r="AA378" s="258"/>
    </row>
    <row r="379">
      <c r="W379" s="257"/>
      <c r="AA379" s="258"/>
    </row>
    <row r="380">
      <c r="W380" s="257"/>
      <c r="AA380" s="258"/>
    </row>
    <row r="381">
      <c r="W381" s="257"/>
      <c r="AA381" s="258"/>
    </row>
    <row r="382">
      <c r="W382" s="257"/>
      <c r="AA382" s="258"/>
    </row>
    <row r="383">
      <c r="W383" s="257"/>
      <c r="AA383" s="258"/>
    </row>
    <row r="384">
      <c r="W384" s="257"/>
      <c r="AA384" s="258"/>
    </row>
    <row r="385">
      <c r="W385" s="257"/>
      <c r="AA385" s="258"/>
    </row>
    <row r="386">
      <c r="W386" s="257"/>
      <c r="AA386" s="258"/>
    </row>
    <row r="387">
      <c r="W387" s="257"/>
      <c r="AA387" s="258"/>
    </row>
    <row r="388">
      <c r="W388" s="257"/>
      <c r="AA388" s="258"/>
    </row>
    <row r="389">
      <c r="W389" s="257"/>
      <c r="AA389" s="258"/>
    </row>
    <row r="390">
      <c r="W390" s="257"/>
      <c r="AA390" s="258"/>
    </row>
    <row r="391">
      <c r="W391" s="257"/>
      <c r="AA391" s="258"/>
    </row>
    <row r="392">
      <c r="W392" s="257"/>
      <c r="AA392" s="258"/>
    </row>
    <row r="393">
      <c r="W393" s="257"/>
      <c r="AA393" s="258"/>
    </row>
    <row r="394">
      <c r="W394" s="257"/>
      <c r="AA394" s="258"/>
    </row>
    <row r="395">
      <c r="W395" s="257"/>
      <c r="AA395" s="258"/>
    </row>
    <row r="396">
      <c r="W396" s="257"/>
      <c r="AA396" s="258"/>
    </row>
    <row r="397">
      <c r="W397" s="257"/>
      <c r="AA397" s="258"/>
    </row>
    <row r="398">
      <c r="W398" s="257"/>
      <c r="AA398" s="258"/>
    </row>
    <row r="399">
      <c r="W399" s="257"/>
      <c r="AA399" s="258"/>
    </row>
    <row r="400">
      <c r="W400" s="257"/>
      <c r="AA400" s="258"/>
    </row>
    <row r="401">
      <c r="W401" s="257"/>
      <c r="AA401" s="258"/>
    </row>
    <row r="402">
      <c r="W402" s="257"/>
      <c r="AA402" s="258"/>
    </row>
    <row r="403">
      <c r="W403" s="257"/>
      <c r="AA403" s="258"/>
    </row>
    <row r="404">
      <c r="W404" s="257"/>
      <c r="AA404" s="258"/>
    </row>
    <row r="405">
      <c r="W405" s="257"/>
      <c r="AA405" s="258"/>
    </row>
    <row r="406">
      <c r="W406" s="257"/>
      <c r="AA406" s="258"/>
    </row>
    <row r="407">
      <c r="W407" s="257"/>
      <c r="AA407" s="258"/>
    </row>
    <row r="408">
      <c r="W408" s="257"/>
      <c r="AA408" s="258"/>
    </row>
    <row r="409">
      <c r="W409" s="257"/>
      <c r="AA409" s="258"/>
    </row>
    <row r="410">
      <c r="W410" s="257"/>
      <c r="AA410" s="258"/>
    </row>
    <row r="411">
      <c r="W411" s="257"/>
      <c r="AA411" s="258"/>
    </row>
    <row r="412">
      <c r="W412" s="257"/>
      <c r="AA412" s="258"/>
    </row>
    <row r="413">
      <c r="W413" s="257"/>
      <c r="AA413" s="258"/>
    </row>
    <row r="414">
      <c r="W414" s="257"/>
      <c r="AA414" s="258"/>
    </row>
    <row r="415">
      <c r="W415" s="257"/>
      <c r="AA415" s="258"/>
    </row>
    <row r="416">
      <c r="W416" s="257"/>
      <c r="AA416" s="258"/>
    </row>
    <row r="417">
      <c r="W417" s="257"/>
      <c r="AA417" s="258"/>
    </row>
    <row r="418">
      <c r="W418" s="257"/>
      <c r="AA418" s="258"/>
    </row>
    <row r="419">
      <c r="W419" s="257"/>
      <c r="AA419" s="258"/>
    </row>
    <row r="420">
      <c r="W420" s="257"/>
      <c r="AA420" s="258"/>
    </row>
    <row r="421">
      <c r="W421" s="257"/>
      <c r="AA421" s="258"/>
    </row>
    <row r="422">
      <c r="W422" s="257"/>
      <c r="AA422" s="258"/>
    </row>
    <row r="423">
      <c r="W423" s="257"/>
      <c r="AA423" s="258"/>
    </row>
    <row r="424">
      <c r="W424" s="257"/>
      <c r="AA424" s="258"/>
    </row>
    <row r="425">
      <c r="W425" s="257"/>
      <c r="AA425" s="258"/>
    </row>
    <row r="426">
      <c r="W426" s="257"/>
      <c r="AA426" s="258"/>
    </row>
    <row r="427">
      <c r="W427" s="257"/>
      <c r="AA427" s="258"/>
    </row>
    <row r="428">
      <c r="W428" s="257"/>
      <c r="AA428" s="258"/>
    </row>
    <row r="429">
      <c r="W429" s="257"/>
      <c r="AA429" s="258"/>
    </row>
    <row r="430">
      <c r="W430" s="257"/>
      <c r="AA430" s="258"/>
    </row>
    <row r="431">
      <c r="W431" s="257"/>
      <c r="AA431" s="258"/>
    </row>
    <row r="432">
      <c r="W432" s="257"/>
      <c r="AA432" s="258"/>
    </row>
    <row r="433">
      <c r="W433" s="257"/>
      <c r="AA433" s="258"/>
    </row>
    <row r="434">
      <c r="W434" s="257"/>
      <c r="AA434" s="258"/>
    </row>
    <row r="435">
      <c r="W435" s="257"/>
      <c r="AA435" s="258"/>
    </row>
    <row r="436">
      <c r="W436" s="257"/>
      <c r="AA436" s="258"/>
    </row>
    <row r="437">
      <c r="W437" s="257"/>
      <c r="AA437" s="258"/>
    </row>
    <row r="438">
      <c r="W438" s="257"/>
      <c r="AA438" s="258"/>
    </row>
    <row r="439">
      <c r="W439" s="257"/>
      <c r="AA439" s="258"/>
    </row>
    <row r="440">
      <c r="W440" s="257"/>
      <c r="AA440" s="258"/>
    </row>
    <row r="441">
      <c r="W441" s="257"/>
      <c r="AA441" s="258"/>
    </row>
    <row r="442">
      <c r="W442" s="257"/>
      <c r="AA442" s="258"/>
    </row>
    <row r="443">
      <c r="W443" s="257"/>
      <c r="AA443" s="258"/>
    </row>
    <row r="444">
      <c r="W444" s="257"/>
      <c r="AA444" s="258"/>
    </row>
    <row r="445">
      <c r="W445" s="257"/>
      <c r="AA445" s="258"/>
    </row>
    <row r="446">
      <c r="W446" s="257"/>
      <c r="AA446" s="258"/>
    </row>
    <row r="447">
      <c r="W447" s="257"/>
      <c r="AA447" s="258"/>
    </row>
    <row r="448">
      <c r="W448" s="257"/>
      <c r="AA448" s="258"/>
    </row>
    <row r="449">
      <c r="W449" s="257"/>
      <c r="AA449" s="258"/>
    </row>
    <row r="450">
      <c r="W450" s="257"/>
      <c r="AA450" s="258"/>
    </row>
    <row r="451">
      <c r="W451" s="257"/>
      <c r="AA451" s="258"/>
    </row>
    <row r="452">
      <c r="W452" s="257"/>
      <c r="AA452" s="258"/>
    </row>
    <row r="453">
      <c r="W453" s="257"/>
      <c r="AA453" s="258"/>
    </row>
    <row r="454">
      <c r="W454" s="257"/>
      <c r="AA454" s="258"/>
    </row>
    <row r="455">
      <c r="W455" s="257"/>
      <c r="AA455" s="258"/>
    </row>
    <row r="456">
      <c r="W456" s="257"/>
      <c r="AA456" s="258"/>
    </row>
    <row r="457">
      <c r="W457" s="257"/>
      <c r="AA457" s="258"/>
    </row>
    <row r="458">
      <c r="W458" s="257"/>
      <c r="AA458" s="258"/>
    </row>
    <row r="459">
      <c r="W459" s="257"/>
      <c r="AA459" s="258"/>
    </row>
    <row r="460">
      <c r="W460" s="257"/>
      <c r="AA460" s="258"/>
    </row>
    <row r="461">
      <c r="W461" s="257"/>
      <c r="AA461" s="258"/>
    </row>
    <row r="462">
      <c r="W462" s="257"/>
      <c r="AA462" s="258"/>
    </row>
    <row r="463">
      <c r="W463" s="257"/>
      <c r="AA463" s="258"/>
    </row>
    <row r="464">
      <c r="W464" s="257"/>
      <c r="AA464" s="258"/>
    </row>
    <row r="465">
      <c r="W465" s="257"/>
      <c r="AA465" s="258"/>
    </row>
    <row r="466">
      <c r="W466" s="257"/>
      <c r="AA466" s="258"/>
    </row>
    <row r="467">
      <c r="W467" s="257"/>
      <c r="AA467" s="258"/>
    </row>
    <row r="468">
      <c r="W468" s="257"/>
      <c r="AA468" s="258"/>
    </row>
    <row r="469">
      <c r="W469" s="257"/>
      <c r="AA469" s="258"/>
    </row>
    <row r="470">
      <c r="W470" s="257"/>
      <c r="AA470" s="258"/>
    </row>
    <row r="471">
      <c r="W471" s="257"/>
      <c r="AA471" s="258"/>
    </row>
    <row r="472">
      <c r="W472" s="257"/>
      <c r="AA472" s="258"/>
    </row>
    <row r="473">
      <c r="W473" s="257"/>
      <c r="AA473" s="258"/>
    </row>
    <row r="474">
      <c r="W474" s="257"/>
      <c r="AA474" s="258"/>
    </row>
    <row r="475">
      <c r="W475" s="257"/>
      <c r="AA475" s="258"/>
    </row>
    <row r="476">
      <c r="W476" s="257"/>
      <c r="AA476" s="258"/>
    </row>
    <row r="477">
      <c r="W477" s="257"/>
      <c r="AA477" s="258"/>
    </row>
    <row r="478">
      <c r="W478" s="257"/>
      <c r="AA478" s="258"/>
    </row>
    <row r="479">
      <c r="W479" s="257"/>
      <c r="AA479" s="258"/>
    </row>
    <row r="480">
      <c r="W480" s="257"/>
      <c r="AA480" s="258"/>
    </row>
    <row r="481">
      <c r="W481" s="257"/>
      <c r="AA481" s="258"/>
    </row>
    <row r="482">
      <c r="W482" s="257"/>
      <c r="AA482" s="258"/>
    </row>
    <row r="483">
      <c r="W483" s="257"/>
      <c r="AA483" s="258"/>
    </row>
    <row r="484">
      <c r="W484" s="257"/>
      <c r="AA484" s="258"/>
    </row>
    <row r="485">
      <c r="W485" s="257"/>
      <c r="AA485" s="258"/>
    </row>
    <row r="486">
      <c r="W486" s="257"/>
      <c r="AA486" s="258"/>
    </row>
    <row r="487">
      <c r="W487" s="257"/>
      <c r="AA487" s="258"/>
    </row>
    <row r="488">
      <c r="W488" s="257"/>
      <c r="AA488" s="258"/>
    </row>
    <row r="489">
      <c r="W489" s="257"/>
      <c r="AA489" s="258"/>
    </row>
    <row r="490">
      <c r="W490" s="257"/>
      <c r="AA490" s="258"/>
    </row>
    <row r="491">
      <c r="W491" s="257"/>
      <c r="AA491" s="258"/>
    </row>
    <row r="492">
      <c r="W492" s="257"/>
      <c r="AA492" s="258"/>
    </row>
    <row r="493">
      <c r="W493" s="257"/>
      <c r="AA493" s="258"/>
    </row>
    <row r="494">
      <c r="W494" s="257"/>
      <c r="AA494" s="258"/>
    </row>
    <row r="495">
      <c r="W495" s="257"/>
      <c r="AA495" s="258"/>
    </row>
    <row r="496">
      <c r="W496" s="257"/>
      <c r="AA496" s="258"/>
    </row>
    <row r="497">
      <c r="W497" s="257"/>
      <c r="AA497" s="258"/>
    </row>
    <row r="498">
      <c r="W498" s="257"/>
      <c r="AA498" s="258"/>
    </row>
    <row r="499">
      <c r="W499" s="257"/>
      <c r="AA499" s="258"/>
    </row>
    <row r="500">
      <c r="W500" s="257"/>
      <c r="AA500" s="258"/>
    </row>
    <row r="501">
      <c r="W501" s="257"/>
      <c r="AA501" s="258"/>
    </row>
    <row r="502">
      <c r="W502" s="257"/>
      <c r="AA502" s="258"/>
    </row>
    <row r="503">
      <c r="W503" s="257"/>
      <c r="AA503" s="258"/>
    </row>
    <row r="504">
      <c r="W504" s="257"/>
      <c r="AA504" s="258"/>
    </row>
    <row r="505">
      <c r="W505" s="257"/>
      <c r="AA505" s="258"/>
    </row>
    <row r="506">
      <c r="W506" s="257"/>
      <c r="AA506" s="258"/>
    </row>
    <row r="507">
      <c r="W507" s="257"/>
      <c r="AA507" s="258"/>
    </row>
    <row r="508">
      <c r="W508" s="257"/>
      <c r="AA508" s="258"/>
    </row>
    <row r="509">
      <c r="W509" s="257"/>
      <c r="AA509" s="258"/>
    </row>
    <row r="510">
      <c r="W510" s="257"/>
      <c r="AA510" s="258"/>
    </row>
    <row r="511">
      <c r="W511" s="257"/>
      <c r="AA511" s="258"/>
    </row>
    <row r="512">
      <c r="W512" s="257"/>
      <c r="AA512" s="258"/>
    </row>
    <row r="513">
      <c r="W513" s="257"/>
      <c r="AA513" s="258"/>
    </row>
    <row r="514">
      <c r="W514" s="257"/>
      <c r="AA514" s="258"/>
    </row>
    <row r="515">
      <c r="W515" s="257"/>
      <c r="AA515" s="258"/>
    </row>
    <row r="516">
      <c r="W516" s="257"/>
      <c r="AA516" s="258"/>
    </row>
    <row r="517">
      <c r="W517" s="257"/>
      <c r="AA517" s="258"/>
    </row>
    <row r="518">
      <c r="W518" s="257"/>
      <c r="AA518" s="258"/>
    </row>
    <row r="519">
      <c r="W519" s="257"/>
      <c r="AA519" s="258"/>
    </row>
    <row r="520">
      <c r="W520" s="257"/>
      <c r="AA520" s="258"/>
    </row>
    <row r="521">
      <c r="W521" s="257"/>
      <c r="AA521" s="258"/>
    </row>
    <row r="522">
      <c r="W522" s="257"/>
      <c r="AA522" s="258"/>
    </row>
    <row r="523">
      <c r="W523" s="257"/>
      <c r="AA523" s="258"/>
    </row>
    <row r="524">
      <c r="W524" s="257"/>
      <c r="AA524" s="258"/>
    </row>
    <row r="525">
      <c r="W525" s="257"/>
      <c r="AA525" s="258"/>
    </row>
    <row r="526">
      <c r="W526" s="257"/>
      <c r="AA526" s="258"/>
    </row>
    <row r="527">
      <c r="W527" s="257"/>
      <c r="AA527" s="258"/>
    </row>
    <row r="528">
      <c r="W528" s="257"/>
      <c r="AA528" s="258"/>
    </row>
    <row r="529">
      <c r="W529" s="257"/>
      <c r="AA529" s="258"/>
    </row>
    <row r="530">
      <c r="W530" s="257"/>
      <c r="AA530" s="258"/>
    </row>
    <row r="531">
      <c r="W531" s="257"/>
      <c r="AA531" s="258"/>
    </row>
    <row r="532">
      <c r="W532" s="257"/>
      <c r="AA532" s="258"/>
    </row>
    <row r="533">
      <c r="W533" s="257"/>
      <c r="AA533" s="258"/>
    </row>
    <row r="534">
      <c r="W534" s="257"/>
      <c r="AA534" s="258"/>
    </row>
    <row r="535">
      <c r="W535" s="257"/>
      <c r="AA535" s="258"/>
    </row>
    <row r="536">
      <c r="W536" s="257"/>
      <c r="AA536" s="258"/>
    </row>
    <row r="537">
      <c r="W537" s="257"/>
      <c r="AA537" s="258"/>
    </row>
    <row r="538">
      <c r="W538" s="257"/>
      <c r="AA538" s="258"/>
    </row>
    <row r="539">
      <c r="W539" s="257"/>
      <c r="AA539" s="258"/>
    </row>
    <row r="540">
      <c r="W540" s="257"/>
      <c r="AA540" s="258"/>
    </row>
    <row r="541">
      <c r="W541" s="257"/>
      <c r="AA541" s="258"/>
    </row>
    <row r="542">
      <c r="W542" s="257"/>
      <c r="AA542" s="258"/>
    </row>
    <row r="543">
      <c r="W543" s="257"/>
      <c r="AA543" s="258"/>
    </row>
    <row r="544">
      <c r="W544" s="257"/>
      <c r="AA544" s="258"/>
    </row>
    <row r="545">
      <c r="W545" s="257"/>
      <c r="AA545" s="258"/>
    </row>
    <row r="546">
      <c r="W546" s="257"/>
      <c r="AA546" s="258"/>
    </row>
    <row r="547">
      <c r="W547" s="257"/>
      <c r="AA547" s="258"/>
    </row>
    <row r="548">
      <c r="W548" s="257"/>
      <c r="AA548" s="258"/>
    </row>
    <row r="549">
      <c r="W549" s="257"/>
      <c r="AA549" s="258"/>
    </row>
    <row r="550">
      <c r="W550" s="257"/>
      <c r="AA550" s="258"/>
    </row>
    <row r="551">
      <c r="W551" s="257"/>
      <c r="AA551" s="258"/>
    </row>
    <row r="552">
      <c r="W552" s="257"/>
      <c r="AA552" s="258"/>
    </row>
    <row r="553">
      <c r="W553" s="257"/>
      <c r="AA553" s="258"/>
    </row>
    <row r="554">
      <c r="W554" s="257"/>
      <c r="AA554" s="258"/>
    </row>
    <row r="555">
      <c r="W555" s="257"/>
      <c r="AA555" s="258"/>
    </row>
    <row r="556">
      <c r="W556" s="257"/>
      <c r="AA556" s="258"/>
    </row>
    <row r="557">
      <c r="W557" s="257"/>
      <c r="AA557" s="258"/>
    </row>
    <row r="558">
      <c r="W558" s="257"/>
      <c r="AA558" s="258"/>
    </row>
    <row r="559">
      <c r="W559" s="257"/>
      <c r="AA559" s="258"/>
    </row>
    <row r="560">
      <c r="W560" s="257"/>
      <c r="AA560" s="258"/>
    </row>
    <row r="561">
      <c r="W561" s="257"/>
      <c r="AA561" s="258"/>
    </row>
    <row r="562">
      <c r="W562" s="257"/>
      <c r="AA562" s="258"/>
    </row>
    <row r="563">
      <c r="W563" s="257"/>
      <c r="AA563" s="258"/>
    </row>
    <row r="564">
      <c r="W564" s="257"/>
      <c r="AA564" s="258"/>
    </row>
    <row r="565">
      <c r="W565" s="257"/>
      <c r="AA565" s="258"/>
    </row>
    <row r="566">
      <c r="W566" s="257"/>
      <c r="AA566" s="258"/>
    </row>
    <row r="567">
      <c r="W567" s="257"/>
      <c r="AA567" s="258"/>
    </row>
    <row r="568">
      <c r="W568" s="257"/>
      <c r="AA568" s="258"/>
    </row>
    <row r="569">
      <c r="W569" s="257"/>
      <c r="AA569" s="258"/>
    </row>
    <row r="570">
      <c r="W570" s="257"/>
      <c r="AA570" s="258"/>
    </row>
    <row r="571">
      <c r="W571" s="257"/>
      <c r="AA571" s="258"/>
    </row>
    <row r="572">
      <c r="W572" s="257"/>
      <c r="AA572" s="258"/>
    </row>
    <row r="573">
      <c r="W573" s="257"/>
      <c r="AA573" s="258"/>
    </row>
    <row r="574">
      <c r="W574" s="257"/>
      <c r="AA574" s="258"/>
    </row>
    <row r="575">
      <c r="W575" s="257"/>
      <c r="AA575" s="258"/>
    </row>
    <row r="576">
      <c r="W576" s="257"/>
      <c r="AA576" s="258"/>
    </row>
    <row r="577">
      <c r="W577" s="257"/>
      <c r="AA577" s="258"/>
    </row>
    <row r="578">
      <c r="W578" s="257"/>
      <c r="AA578" s="258"/>
    </row>
    <row r="579">
      <c r="W579" s="257"/>
      <c r="AA579" s="258"/>
    </row>
    <row r="580">
      <c r="W580" s="257"/>
      <c r="AA580" s="258"/>
    </row>
    <row r="581">
      <c r="W581" s="257"/>
      <c r="AA581" s="258"/>
    </row>
    <row r="582">
      <c r="W582" s="257"/>
      <c r="AA582" s="258"/>
    </row>
    <row r="583">
      <c r="W583" s="257"/>
      <c r="AA583" s="258"/>
    </row>
    <row r="584">
      <c r="W584" s="257"/>
      <c r="AA584" s="258"/>
    </row>
    <row r="585">
      <c r="W585" s="257"/>
      <c r="AA585" s="258"/>
    </row>
    <row r="586">
      <c r="W586" s="257"/>
      <c r="AA586" s="258"/>
    </row>
    <row r="587">
      <c r="W587" s="257"/>
      <c r="AA587" s="258"/>
    </row>
    <row r="588">
      <c r="W588" s="257"/>
      <c r="AA588" s="258"/>
    </row>
    <row r="589">
      <c r="W589" s="257"/>
      <c r="AA589" s="258"/>
    </row>
    <row r="590">
      <c r="W590" s="257"/>
      <c r="AA590" s="258"/>
    </row>
    <row r="591">
      <c r="W591" s="257"/>
      <c r="AA591" s="258"/>
    </row>
    <row r="592">
      <c r="W592" s="257"/>
      <c r="AA592" s="258"/>
    </row>
    <row r="593">
      <c r="W593" s="257"/>
      <c r="AA593" s="258"/>
    </row>
    <row r="594">
      <c r="W594" s="257"/>
      <c r="AA594" s="258"/>
    </row>
    <row r="595">
      <c r="W595" s="257"/>
      <c r="AA595" s="258"/>
    </row>
    <row r="596">
      <c r="W596" s="257"/>
      <c r="AA596" s="258"/>
    </row>
    <row r="597">
      <c r="W597" s="257"/>
      <c r="AA597" s="258"/>
    </row>
    <row r="598">
      <c r="W598" s="257"/>
      <c r="AA598" s="258"/>
    </row>
    <row r="599">
      <c r="W599" s="257"/>
      <c r="AA599" s="258"/>
    </row>
    <row r="600">
      <c r="W600" s="257"/>
      <c r="AA600" s="258"/>
    </row>
    <row r="601">
      <c r="W601" s="257"/>
      <c r="AA601" s="258"/>
    </row>
    <row r="602">
      <c r="W602" s="257"/>
      <c r="AA602" s="258"/>
    </row>
    <row r="603">
      <c r="W603" s="257"/>
      <c r="AA603" s="258"/>
    </row>
    <row r="604">
      <c r="W604" s="257"/>
      <c r="AA604" s="258"/>
    </row>
    <row r="605">
      <c r="W605" s="257"/>
      <c r="AA605" s="258"/>
    </row>
    <row r="606">
      <c r="W606" s="257"/>
      <c r="AA606" s="258"/>
    </row>
    <row r="607">
      <c r="W607" s="257"/>
      <c r="AA607" s="258"/>
    </row>
    <row r="608">
      <c r="W608" s="257"/>
      <c r="AA608" s="258"/>
    </row>
    <row r="609">
      <c r="W609" s="257"/>
      <c r="AA609" s="258"/>
    </row>
    <row r="610">
      <c r="W610" s="257"/>
      <c r="AA610" s="258"/>
    </row>
    <row r="611">
      <c r="W611" s="257"/>
      <c r="AA611" s="258"/>
    </row>
    <row r="612">
      <c r="W612" s="257"/>
      <c r="AA612" s="258"/>
    </row>
    <row r="613">
      <c r="W613" s="257"/>
      <c r="AA613" s="258"/>
    </row>
    <row r="614">
      <c r="W614" s="257"/>
      <c r="AA614" s="258"/>
    </row>
    <row r="615">
      <c r="W615" s="257"/>
      <c r="AA615" s="258"/>
    </row>
    <row r="616">
      <c r="W616" s="257"/>
      <c r="AA616" s="258"/>
    </row>
    <row r="617">
      <c r="W617" s="257"/>
      <c r="AA617" s="258"/>
    </row>
    <row r="618">
      <c r="W618" s="257"/>
      <c r="AA618" s="258"/>
    </row>
    <row r="619">
      <c r="W619" s="257"/>
      <c r="AA619" s="258"/>
    </row>
    <row r="620">
      <c r="W620" s="257"/>
      <c r="AA620" s="258"/>
    </row>
    <row r="621">
      <c r="W621" s="257"/>
      <c r="AA621" s="258"/>
    </row>
    <row r="622">
      <c r="W622" s="257"/>
      <c r="AA622" s="258"/>
    </row>
    <row r="623">
      <c r="W623" s="257"/>
      <c r="AA623" s="258"/>
    </row>
    <row r="624">
      <c r="W624" s="257"/>
      <c r="AA624" s="258"/>
    </row>
    <row r="625">
      <c r="W625" s="257"/>
      <c r="AA625" s="258"/>
    </row>
    <row r="626">
      <c r="W626" s="257"/>
      <c r="AA626" s="258"/>
    </row>
    <row r="627">
      <c r="W627" s="257"/>
      <c r="AA627" s="258"/>
    </row>
    <row r="628">
      <c r="W628" s="257"/>
      <c r="AA628" s="258"/>
    </row>
    <row r="629">
      <c r="W629" s="257"/>
      <c r="AA629" s="258"/>
    </row>
    <row r="630">
      <c r="W630" s="257"/>
      <c r="AA630" s="258"/>
    </row>
    <row r="631">
      <c r="W631" s="257"/>
      <c r="AA631" s="258"/>
    </row>
    <row r="632">
      <c r="W632" s="257"/>
      <c r="AA632" s="258"/>
    </row>
    <row r="633">
      <c r="W633" s="257"/>
      <c r="AA633" s="258"/>
    </row>
    <row r="634">
      <c r="W634" s="257"/>
      <c r="AA634" s="258"/>
    </row>
    <row r="635">
      <c r="W635" s="257"/>
      <c r="AA635" s="258"/>
    </row>
    <row r="636">
      <c r="W636" s="257"/>
      <c r="AA636" s="258"/>
    </row>
    <row r="637">
      <c r="W637" s="257"/>
      <c r="AA637" s="258"/>
    </row>
    <row r="638">
      <c r="W638" s="257"/>
      <c r="AA638" s="258"/>
    </row>
    <row r="639">
      <c r="W639" s="257"/>
      <c r="AA639" s="258"/>
    </row>
    <row r="640">
      <c r="W640" s="257"/>
      <c r="AA640" s="258"/>
    </row>
    <row r="641">
      <c r="W641" s="257"/>
      <c r="AA641" s="258"/>
    </row>
    <row r="642">
      <c r="W642" s="257"/>
      <c r="AA642" s="258"/>
    </row>
    <row r="643">
      <c r="W643" s="257"/>
      <c r="AA643" s="258"/>
    </row>
    <row r="644">
      <c r="W644" s="257"/>
      <c r="AA644" s="258"/>
    </row>
    <row r="645">
      <c r="W645" s="257"/>
      <c r="AA645" s="258"/>
    </row>
    <row r="646">
      <c r="W646" s="257"/>
      <c r="AA646" s="258"/>
    </row>
    <row r="647">
      <c r="W647" s="257"/>
      <c r="AA647" s="258"/>
    </row>
    <row r="648">
      <c r="W648" s="257"/>
      <c r="AA648" s="258"/>
    </row>
    <row r="649">
      <c r="W649" s="257"/>
      <c r="AA649" s="258"/>
    </row>
    <row r="650">
      <c r="W650" s="257"/>
      <c r="AA650" s="258"/>
    </row>
    <row r="651">
      <c r="W651" s="257"/>
      <c r="AA651" s="258"/>
    </row>
    <row r="652">
      <c r="W652" s="257"/>
      <c r="AA652" s="258"/>
    </row>
    <row r="653">
      <c r="W653" s="257"/>
      <c r="AA653" s="258"/>
    </row>
    <row r="654">
      <c r="W654" s="257"/>
      <c r="AA654" s="258"/>
    </row>
    <row r="655">
      <c r="W655" s="257"/>
      <c r="AA655" s="258"/>
    </row>
    <row r="656">
      <c r="W656" s="257"/>
      <c r="AA656" s="258"/>
    </row>
    <row r="657">
      <c r="W657" s="257"/>
      <c r="AA657" s="258"/>
    </row>
    <row r="658">
      <c r="W658" s="257"/>
      <c r="AA658" s="258"/>
    </row>
    <row r="659">
      <c r="W659" s="257"/>
      <c r="AA659" s="258"/>
    </row>
    <row r="660">
      <c r="W660" s="257"/>
      <c r="AA660" s="258"/>
    </row>
    <row r="661">
      <c r="W661" s="257"/>
      <c r="AA661" s="258"/>
    </row>
    <row r="662">
      <c r="W662" s="257"/>
      <c r="AA662" s="258"/>
    </row>
    <row r="663">
      <c r="W663" s="257"/>
      <c r="AA663" s="258"/>
    </row>
    <row r="664">
      <c r="W664" s="257"/>
      <c r="AA664" s="258"/>
    </row>
    <row r="665">
      <c r="W665" s="257"/>
      <c r="AA665" s="258"/>
    </row>
    <row r="666">
      <c r="W666" s="257"/>
      <c r="AA666" s="258"/>
    </row>
    <row r="667">
      <c r="W667" s="257"/>
      <c r="AA667" s="258"/>
    </row>
    <row r="668">
      <c r="W668" s="257"/>
      <c r="AA668" s="258"/>
    </row>
    <row r="669">
      <c r="W669" s="257"/>
      <c r="AA669" s="258"/>
    </row>
    <row r="670">
      <c r="W670" s="257"/>
      <c r="AA670" s="258"/>
    </row>
    <row r="671">
      <c r="W671" s="257"/>
      <c r="AA671" s="258"/>
    </row>
    <row r="672">
      <c r="W672" s="257"/>
      <c r="AA672" s="258"/>
    </row>
    <row r="673">
      <c r="W673" s="257"/>
      <c r="AA673" s="258"/>
    </row>
    <row r="674">
      <c r="W674" s="257"/>
      <c r="AA674" s="258"/>
    </row>
    <row r="675">
      <c r="W675" s="257"/>
      <c r="AA675" s="258"/>
    </row>
    <row r="676">
      <c r="W676" s="257"/>
      <c r="AA676" s="258"/>
    </row>
    <row r="677">
      <c r="W677" s="257"/>
      <c r="AA677" s="258"/>
    </row>
    <row r="678">
      <c r="W678" s="257"/>
      <c r="AA678" s="258"/>
    </row>
    <row r="679">
      <c r="W679" s="257"/>
      <c r="AA679" s="258"/>
    </row>
    <row r="680">
      <c r="W680" s="257"/>
      <c r="AA680" s="258"/>
    </row>
    <row r="681">
      <c r="W681" s="257"/>
      <c r="AA681" s="258"/>
    </row>
    <row r="682">
      <c r="W682" s="257"/>
      <c r="AA682" s="258"/>
    </row>
    <row r="683">
      <c r="W683" s="257"/>
      <c r="AA683" s="258"/>
    </row>
    <row r="684">
      <c r="W684" s="257"/>
      <c r="AA684" s="258"/>
    </row>
    <row r="685">
      <c r="W685" s="257"/>
      <c r="AA685" s="258"/>
    </row>
    <row r="686">
      <c r="W686" s="257"/>
      <c r="AA686" s="258"/>
    </row>
    <row r="687">
      <c r="W687" s="257"/>
      <c r="AA687" s="258"/>
    </row>
    <row r="688">
      <c r="W688" s="257"/>
      <c r="AA688" s="258"/>
    </row>
    <row r="689">
      <c r="W689" s="257"/>
      <c r="AA689" s="258"/>
    </row>
    <row r="690">
      <c r="W690" s="257"/>
      <c r="AA690" s="258"/>
    </row>
    <row r="691">
      <c r="W691" s="257"/>
      <c r="AA691" s="258"/>
    </row>
    <row r="692">
      <c r="W692" s="257"/>
      <c r="AA692" s="258"/>
    </row>
    <row r="693">
      <c r="W693" s="257"/>
      <c r="AA693" s="258"/>
    </row>
    <row r="694">
      <c r="W694" s="257"/>
      <c r="AA694" s="258"/>
    </row>
    <row r="695">
      <c r="W695" s="257"/>
      <c r="AA695" s="258"/>
    </row>
    <row r="696">
      <c r="W696" s="257"/>
      <c r="AA696" s="258"/>
    </row>
    <row r="697">
      <c r="W697" s="257"/>
      <c r="AA697" s="258"/>
    </row>
    <row r="698">
      <c r="W698" s="257"/>
      <c r="AA698" s="258"/>
    </row>
    <row r="699">
      <c r="W699" s="257"/>
      <c r="AA699" s="258"/>
    </row>
    <row r="700">
      <c r="W700" s="257"/>
      <c r="AA700" s="258"/>
    </row>
    <row r="701">
      <c r="W701" s="257"/>
      <c r="AA701" s="258"/>
    </row>
    <row r="702">
      <c r="W702" s="257"/>
      <c r="AA702" s="258"/>
    </row>
    <row r="703">
      <c r="W703" s="257"/>
      <c r="AA703" s="258"/>
    </row>
    <row r="704">
      <c r="W704" s="257"/>
      <c r="AA704" s="258"/>
    </row>
    <row r="705">
      <c r="W705" s="257"/>
      <c r="AA705" s="258"/>
    </row>
    <row r="706">
      <c r="W706" s="257"/>
      <c r="AA706" s="258"/>
    </row>
    <row r="707">
      <c r="W707" s="257"/>
      <c r="AA707" s="258"/>
    </row>
    <row r="708">
      <c r="W708" s="257"/>
      <c r="AA708" s="258"/>
    </row>
    <row r="709">
      <c r="W709" s="257"/>
      <c r="AA709" s="258"/>
    </row>
    <row r="710">
      <c r="W710" s="257"/>
      <c r="AA710" s="258"/>
    </row>
    <row r="711">
      <c r="W711" s="257"/>
      <c r="AA711" s="258"/>
    </row>
    <row r="712">
      <c r="W712" s="257"/>
      <c r="AA712" s="258"/>
    </row>
    <row r="713">
      <c r="W713" s="257"/>
      <c r="AA713" s="258"/>
    </row>
    <row r="714">
      <c r="W714" s="257"/>
      <c r="AA714" s="258"/>
    </row>
    <row r="715">
      <c r="W715" s="257"/>
      <c r="AA715" s="258"/>
    </row>
    <row r="716">
      <c r="W716" s="257"/>
      <c r="AA716" s="258"/>
    </row>
    <row r="717">
      <c r="W717" s="257"/>
      <c r="AA717" s="258"/>
    </row>
    <row r="718">
      <c r="W718" s="257"/>
      <c r="AA718" s="258"/>
    </row>
    <row r="719">
      <c r="W719" s="257"/>
      <c r="AA719" s="258"/>
    </row>
    <row r="720">
      <c r="W720" s="257"/>
      <c r="AA720" s="258"/>
    </row>
    <row r="721">
      <c r="W721" s="257"/>
      <c r="AA721" s="258"/>
    </row>
    <row r="722">
      <c r="W722" s="257"/>
      <c r="AA722" s="258"/>
    </row>
    <row r="723">
      <c r="W723" s="257"/>
      <c r="AA723" s="258"/>
    </row>
    <row r="724">
      <c r="W724" s="257"/>
      <c r="AA724" s="258"/>
    </row>
    <row r="725">
      <c r="W725" s="257"/>
      <c r="AA725" s="258"/>
    </row>
    <row r="726">
      <c r="W726" s="257"/>
      <c r="AA726" s="258"/>
    </row>
    <row r="727">
      <c r="W727" s="257"/>
      <c r="AA727" s="258"/>
    </row>
    <row r="728">
      <c r="W728" s="257"/>
      <c r="AA728" s="258"/>
    </row>
    <row r="729">
      <c r="W729" s="257"/>
      <c r="AA729" s="258"/>
    </row>
    <row r="730">
      <c r="W730" s="257"/>
      <c r="AA730" s="258"/>
    </row>
    <row r="731">
      <c r="W731" s="257"/>
      <c r="AA731" s="258"/>
    </row>
    <row r="732">
      <c r="W732" s="257"/>
      <c r="AA732" s="258"/>
    </row>
    <row r="733">
      <c r="W733" s="257"/>
      <c r="AA733" s="258"/>
    </row>
    <row r="734">
      <c r="W734" s="257"/>
      <c r="AA734" s="258"/>
    </row>
    <row r="735">
      <c r="W735" s="257"/>
      <c r="AA735" s="258"/>
    </row>
    <row r="736">
      <c r="W736" s="257"/>
      <c r="AA736" s="258"/>
    </row>
    <row r="737">
      <c r="W737" s="257"/>
      <c r="AA737" s="258"/>
    </row>
    <row r="738">
      <c r="W738" s="257"/>
      <c r="AA738" s="258"/>
    </row>
    <row r="739">
      <c r="W739" s="257"/>
      <c r="AA739" s="258"/>
    </row>
    <row r="740">
      <c r="W740" s="257"/>
      <c r="AA740" s="258"/>
    </row>
    <row r="741">
      <c r="W741" s="257"/>
      <c r="AA741" s="258"/>
    </row>
    <row r="742">
      <c r="W742" s="257"/>
      <c r="AA742" s="258"/>
    </row>
    <row r="743">
      <c r="W743" s="257"/>
      <c r="AA743" s="258"/>
    </row>
    <row r="744">
      <c r="W744" s="257"/>
      <c r="AA744" s="258"/>
    </row>
    <row r="745">
      <c r="W745" s="257"/>
      <c r="AA745" s="258"/>
    </row>
    <row r="746">
      <c r="W746" s="257"/>
      <c r="AA746" s="258"/>
    </row>
    <row r="747">
      <c r="W747" s="257"/>
      <c r="AA747" s="258"/>
    </row>
    <row r="748">
      <c r="W748" s="257"/>
      <c r="AA748" s="258"/>
    </row>
    <row r="749">
      <c r="W749" s="257"/>
      <c r="AA749" s="258"/>
    </row>
    <row r="750">
      <c r="W750" s="257"/>
      <c r="AA750" s="258"/>
    </row>
    <row r="751">
      <c r="W751" s="257"/>
      <c r="AA751" s="258"/>
    </row>
    <row r="752">
      <c r="W752" s="257"/>
      <c r="AA752" s="258"/>
    </row>
    <row r="753">
      <c r="W753" s="257"/>
      <c r="AA753" s="258"/>
    </row>
    <row r="754">
      <c r="W754" s="257"/>
      <c r="AA754" s="258"/>
    </row>
    <row r="755">
      <c r="W755" s="257"/>
      <c r="AA755" s="258"/>
    </row>
    <row r="756">
      <c r="W756" s="257"/>
      <c r="AA756" s="258"/>
    </row>
    <row r="757">
      <c r="W757" s="257"/>
      <c r="AA757" s="258"/>
    </row>
    <row r="758">
      <c r="W758" s="257"/>
      <c r="AA758" s="258"/>
    </row>
    <row r="759">
      <c r="W759" s="257"/>
      <c r="AA759" s="258"/>
    </row>
    <row r="760">
      <c r="W760" s="257"/>
      <c r="AA760" s="258"/>
    </row>
    <row r="761">
      <c r="W761" s="257"/>
      <c r="AA761" s="258"/>
    </row>
    <row r="762">
      <c r="W762" s="257"/>
      <c r="AA762" s="258"/>
    </row>
    <row r="763">
      <c r="W763" s="257"/>
      <c r="AA763" s="258"/>
    </row>
    <row r="764">
      <c r="W764" s="257"/>
      <c r="AA764" s="258"/>
    </row>
    <row r="765">
      <c r="W765" s="257"/>
      <c r="AA765" s="258"/>
    </row>
    <row r="766">
      <c r="W766" s="257"/>
      <c r="AA766" s="258"/>
    </row>
    <row r="767">
      <c r="W767" s="257"/>
      <c r="AA767" s="258"/>
    </row>
    <row r="768">
      <c r="W768" s="257"/>
      <c r="AA768" s="258"/>
    </row>
    <row r="769">
      <c r="W769" s="257"/>
      <c r="AA769" s="258"/>
    </row>
    <row r="770">
      <c r="W770" s="257"/>
      <c r="AA770" s="258"/>
    </row>
    <row r="771">
      <c r="W771" s="257"/>
      <c r="AA771" s="258"/>
    </row>
    <row r="772">
      <c r="W772" s="257"/>
      <c r="AA772" s="258"/>
    </row>
    <row r="773">
      <c r="W773" s="257"/>
      <c r="AA773" s="258"/>
    </row>
    <row r="774">
      <c r="W774" s="257"/>
      <c r="AA774" s="258"/>
    </row>
    <row r="775">
      <c r="W775" s="257"/>
      <c r="AA775" s="258"/>
    </row>
    <row r="776">
      <c r="W776" s="257"/>
      <c r="AA776" s="258"/>
    </row>
    <row r="777">
      <c r="W777" s="257"/>
      <c r="AA777" s="258"/>
    </row>
    <row r="778">
      <c r="W778" s="257"/>
      <c r="AA778" s="258"/>
    </row>
    <row r="779">
      <c r="W779" s="257"/>
      <c r="AA779" s="258"/>
    </row>
    <row r="780">
      <c r="W780" s="257"/>
      <c r="AA780" s="258"/>
    </row>
    <row r="781">
      <c r="W781" s="257"/>
      <c r="AA781" s="258"/>
    </row>
    <row r="782">
      <c r="W782" s="257"/>
      <c r="AA782" s="258"/>
    </row>
    <row r="783">
      <c r="W783" s="257"/>
      <c r="AA783" s="258"/>
    </row>
    <row r="784">
      <c r="W784" s="257"/>
      <c r="AA784" s="258"/>
    </row>
    <row r="785">
      <c r="W785" s="257"/>
      <c r="AA785" s="258"/>
    </row>
    <row r="786">
      <c r="W786" s="257"/>
      <c r="AA786" s="258"/>
    </row>
    <row r="787">
      <c r="W787" s="257"/>
      <c r="AA787" s="258"/>
    </row>
    <row r="788">
      <c r="W788" s="257"/>
      <c r="AA788" s="258"/>
    </row>
    <row r="789">
      <c r="W789" s="257"/>
      <c r="AA789" s="258"/>
    </row>
    <row r="790">
      <c r="W790" s="257"/>
      <c r="AA790" s="258"/>
    </row>
    <row r="791">
      <c r="W791" s="257"/>
      <c r="AA791" s="258"/>
    </row>
    <row r="792">
      <c r="W792" s="257"/>
      <c r="AA792" s="258"/>
    </row>
    <row r="793">
      <c r="W793" s="257"/>
      <c r="AA793" s="258"/>
    </row>
    <row r="794">
      <c r="W794" s="257"/>
      <c r="AA794" s="258"/>
    </row>
    <row r="795">
      <c r="W795" s="257"/>
      <c r="AA795" s="258"/>
    </row>
    <row r="796">
      <c r="W796" s="257"/>
      <c r="AA796" s="258"/>
    </row>
    <row r="797">
      <c r="W797" s="257"/>
      <c r="AA797" s="258"/>
    </row>
    <row r="798">
      <c r="W798" s="257"/>
      <c r="AA798" s="258"/>
    </row>
    <row r="799">
      <c r="W799" s="257"/>
      <c r="AA799" s="258"/>
    </row>
    <row r="800">
      <c r="W800" s="257"/>
      <c r="AA800" s="258"/>
    </row>
    <row r="801">
      <c r="W801" s="257"/>
      <c r="AA801" s="258"/>
    </row>
    <row r="802">
      <c r="W802" s="257"/>
      <c r="AA802" s="258"/>
    </row>
    <row r="803">
      <c r="W803" s="257"/>
      <c r="AA803" s="258"/>
    </row>
    <row r="804">
      <c r="W804" s="257"/>
      <c r="AA804" s="258"/>
    </row>
    <row r="805">
      <c r="W805" s="257"/>
      <c r="AA805" s="258"/>
    </row>
    <row r="806">
      <c r="W806" s="257"/>
      <c r="AA806" s="258"/>
    </row>
    <row r="807">
      <c r="W807" s="257"/>
      <c r="AA807" s="258"/>
    </row>
    <row r="808">
      <c r="W808" s="257"/>
      <c r="AA808" s="258"/>
    </row>
    <row r="809">
      <c r="W809" s="257"/>
      <c r="AA809" s="258"/>
    </row>
    <row r="810">
      <c r="W810" s="257"/>
      <c r="AA810" s="258"/>
    </row>
    <row r="811">
      <c r="W811" s="257"/>
      <c r="AA811" s="258"/>
    </row>
    <row r="812">
      <c r="W812" s="257"/>
      <c r="AA812" s="258"/>
    </row>
    <row r="813">
      <c r="W813" s="257"/>
      <c r="AA813" s="258"/>
    </row>
    <row r="814">
      <c r="W814" s="257"/>
      <c r="AA814" s="258"/>
    </row>
    <row r="815">
      <c r="W815" s="257"/>
      <c r="AA815" s="258"/>
    </row>
    <row r="816">
      <c r="W816" s="257"/>
      <c r="AA816" s="258"/>
    </row>
    <row r="817">
      <c r="W817" s="257"/>
      <c r="AA817" s="258"/>
    </row>
    <row r="818">
      <c r="W818" s="257"/>
      <c r="AA818" s="258"/>
    </row>
    <row r="819">
      <c r="W819" s="257"/>
      <c r="AA819" s="258"/>
    </row>
    <row r="820">
      <c r="W820" s="257"/>
      <c r="AA820" s="258"/>
    </row>
    <row r="821">
      <c r="W821" s="257"/>
      <c r="AA821" s="258"/>
    </row>
    <row r="822">
      <c r="W822" s="257"/>
      <c r="AA822" s="258"/>
    </row>
    <row r="823">
      <c r="W823" s="257"/>
      <c r="AA823" s="258"/>
    </row>
    <row r="824">
      <c r="W824" s="257"/>
      <c r="AA824" s="258"/>
    </row>
    <row r="825">
      <c r="W825" s="257"/>
      <c r="AA825" s="258"/>
    </row>
    <row r="826">
      <c r="W826" s="257"/>
      <c r="AA826" s="258"/>
    </row>
    <row r="827">
      <c r="W827" s="257"/>
      <c r="AA827" s="258"/>
    </row>
    <row r="828">
      <c r="W828" s="257"/>
      <c r="AA828" s="258"/>
    </row>
    <row r="829">
      <c r="W829" s="257"/>
      <c r="AA829" s="258"/>
    </row>
    <row r="830">
      <c r="W830" s="257"/>
      <c r="AA830" s="258"/>
    </row>
    <row r="831">
      <c r="W831" s="257"/>
      <c r="AA831" s="258"/>
    </row>
    <row r="832">
      <c r="W832" s="257"/>
      <c r="AA832" s="258"/>
    </row>
    <row r="833">
      <c r="W833" s="257"/>
      <c r="AA833" s="258"/>
    </row>
    <row r="834">
      <c r="W834" s="257"/>
      <c r="AA834" s="258"/>
    </row>
    <row r="835">
      <c r="W835" s="257"/>
      <c r="AA835" s="258"/>
    </row>
    <row r="836">
      <c r="W836" s="257"/>
      <c r="AA836" s="258"/>
    </row>
    <row r="837">
      <c r="W837" s="257"/>
      <c r="AA837" s="258"/>
    </row>
    <row r="838">
      <c r="W838" s="257"/>
      <c r="AA838" s="258"/>
    </row>
    <row r="839">
      <c r="W839" s="257"/>
      <c r="AA839" s="258"/>
    </row>
    <row r="840">
      <c r="W840" s="257"/>
      <c r="AA840" s="258"/>
    </row>
    <row r="841">
      <c r="W841" s="257"/>
      <c r="AA841" s="258"/>
    </row>
    <row r="842">
      <c r="W842" s="257"/>
      <c r="AA842" s="258"/>
    </row>
    <row r="843">
      <c r="W843" s="257"/>
      <c r="AA843" s="258"/>
    </row>
    <row r="844">
      <c r="W844" s="257"/>
      <c r="AA844" s="258"/>
    </row>
    <row r="845">
      <c r="W845" s="257"/>
      <c r="AA845" s="258"/>
    </row>
    <row r="846">
      <c r="W846" s="257"/>
      <c r="AA846" s="258"/>
    </row>
    <row r="847">
      <c r="W847" s="257"/>
      <c r="AA847" s="258"/>
    </row>
    <row r="848">
      <c r="W848" s="257"/>
      <c r="AA848" s="258"/>
    </row>
    <row r="849">
      <c r="W849" s="257"/>
      <c r="AA849" s="258"/>
    </row>
    <row r="850">
      <c r="W850" s="257"/>
      <c r="AA850" s="258"/>
    </row>
    <row r="851">
      <c r="W851" s="257"/>
      <c r="AA851" s="258"/>
    </row>
    <row r="852">
      <c r="W852" s="257"/>
      <c r="AA852" s="258"/>
    </row>
    <row r="853">
      <c r="W853" s="257"/>
      <c r="AA853" s="258"/>
    </row>
    <row r="854">
      <c r="W854" s="257"/>
      <c r="AA854" s="258"/>
    </row>
    <row r="855">
      <c r="W855" s="257"/>
      <c r="AA855" s="258"/>
    </row>
    <row r="856">
      <c r="W856" s="257"/>
      <c r="AA856" s="258"/>
    </row>
    <row r="857">
      <c r="W857" s="257"/>
      <c r="AA857" s="258"/>
    </row>
    <row r="858">
      <c r="W858" s="257"/>
      <c r="AA858" s="258"/>
    </row>
    <row r="859">
      <c r="W859" s="257"/>
      <c r="AA859" s="258"/>
    </row>
    <row r="860">
      <c r="W860" s="257"/>
      <c r="AA860" s="258"/>
    </row>
    <row r="861">
      <c r="W861" s="257"/>
      <c r="AA861" s="258"/>
    </row>
    <row r="862">
      <c r="W862" s="257"/>
      <c r="AA862" s="258"/>
    </row>
    <row r="863">
      <c r="W863" s="257"/>
      <c r="AA863" s="258"/>
    </row>
    <row r="864">
      <c r="W864" s="257"/>
      <c r="AA864" s="258"/>
    </row>
    <row r="865">
      <c r="W865" s="257"/>
      <c r="AA865" s="258"/>
    </row>
    <row r="866">
      <c r="W866" s="257"/>
      <c r="AA866" s="258"/>
    </row>
    <row r="867">
      <c r="W867" s="257"/>
      <c r="AA867" s="258"/>
    </row>
    <row r="868">
      <c r="W868" s="257"/>
      <c r="AA868" s="258"/>
    </row>
    <row r="869">
      <c r="W869" s="257"/>
      <c r="AA869" s="258"/>
    </row>
    <row r="870">
      <c r="W870" s="257"/>
      <c r="AA870" s="258"/>
    </row>
    <row r="871">
      <c r="W871" s="257"/>
      <c r="AA871" s="258"/>
    </row>
    <row r="872">
      <c r="W872" s="257"/>
      <c r="AA872" s="258"/>
    </row>
    <row r="873">
      <c r="W873" s="257"/>
      <c r="AA873" s="258"/>
    </row>
    <row r="874">
      <c r="W874" s="257"/>
      <c r="AA874" s="258"/>
    </row>
    <row r="875">
      <c r="W875" s="257"/>
      <c r="AA875" s="258"/>
    </row>
    <row r="876">
      <c r="W876" s="257"/>
      <c r="AA876" s="258"/>
    </row>
    <row r="877">
      <c r="W877" s="257"/>
      <c r="AA877" s="258"/>
    </row>
    <row r="878">
      <c r="W878" s="257"/>
      <c r="AA878" s="258"/>
    </row>
    <row r="879">
      <c r="W879" s="257"/>
      <c r="AA879" s="258"/>
    </row>
    <row r="880">
      <c r="W880" s="257"/>
      <c r="AA880" s="258"/>
    </row>
    <row r="881">
      <c r="W881" s="257"/>
      <c r="AA881" s="258"/>
    </row>
    <row r="882">
      <c r="W882" s="257"/>
      <c r="AA882" s="258"/>
    </row>
    <row r="883">
      <c r="W883" s="257"/>
      <c r="AA883" s="258"/>
    </row>
    <row r="884">
      <c r="W884" s="257"/>
      <c r="AA884" s="258"/>
    </row>
    <row r="885">
      <c r="W885" s="257"/>
      <c r="AA885" s="258"/>
    </row>
    <row r="886">
      <c r="W886" s="257"/>
      <c r="AA886" s="258"/>
    </row>
    <row r="887">
      <c r="W887" s="257"/>
      <c r="AA887" s="258"/>
    </row>
    <row r="888">
      <c r="W888" s="257"/>
      <c r="AA888" s="258"/>
    </row>
    <row r="889">
      <c r="W889" s="257"/>
      <c r="AA889" s="258"/>
    </row>
    <row r="890">
      <c r="W890" s="257"/>
      <c r="AA890" s="258"/>
    </row>
    <row r="891">
      <c r="W891" s="257"/>
      <c r="AA891" s="258"/>
    </row>
    <row r="892">
      <c r="W892" s="257"/>
      <c r="AA892" s="258"/>
    </row>
    <row r="893">
      <c r="W893" s="257"/>
      <c r="AA893" s="258"/>
    </row>
    <row r="894">
      <c r="W894" s="257"/>
      <c r="AA894" s="258"/>
    </row>
    <row r="895">
      <c r="W895" s="257"/>
      <c r="AA895" s="258"/>
    </row>
    <row r="896">
      <c r="W896" s="257"/>
      <c r="AA896" s="258"/>
    </row>
    <row r="897">
      <c r="W897" s="257"/>
      <c r="AA897" s="258"/>
    </row>
    <row r="898">
      <c r="W898" s="257"/>
      <c r="AA898" s="258"/>
    </row>
    <row r="899">
      <c r="W899" s="257"/>
      <c r="AA899" s="258"/>
    </row>
    <row r="900">
      <c r="W900" s="257"/>
      <c r="AA900" s="258"/>
    </row>
    <row r="901">
      <c r="W901" s="257"/>
      <c r="AA901" s="258"/>
    </row>
    <row r="902">
      <c r="W902" s="257"/>
      <c r="AA902" s="258"/>
    </row>
    <row r="903">
      <c r="W903" s="257"/>
      <c r="AA903" s="258"/>
    </row>
    <row r="904">
      <c r="W904" s="257"/>
      <c r="AA904" s="258"/>
    </row>
    <row r="905">
      <c r="W905" s="257"/>
      <c r="AA905" s="258"/>
    </row>
    <row r="906">
      <c r="W906" s="257"/>
      <c r="AA906" s="258"/>
    </row>
    <row r="907">
      <c r="W907" s="257"/>
      <c r="AA907" s="258"/>
    </row>
    <row r="908">
      <c r="W908" s="257"/>
      <c r="AA908" s="258"/>
    </row>
    <row r="909">
      <c r="W909" s="257"/>
      <c r="AA909" s="258"/>
    </row>
    <row r="910">
      <c r="W910" s="257"/>
      <c r="AA910" s="258"/>
    </row>
    <row r="911">
      <c r="W911" s="257"/>
      <c r="AA911" s="258"/>
    </row>
    <row r="912">
      <c r="W912" s="257"/>
      <c r="AA912" s="258"/>
    </row>
    <row r="913">
      <c r="W913" s="257"/>
      <c r="AA913" s="258"/>
    </row>
    <row r="914">
      <c r="W914" s="257"/>
      <c r="AA914" s="258"/>
    </row>
    <row r="915">
      <c r="W915" s="257"/>
      <c r="AA915" s="258"/>
    </row>
    <row r="916">
      <c r="W916" s="257"/>
      <c r="AA916" s="258"/>
    </row>
    <row r="917">
      <c r="W917" s="257"/>
      <c r="AA917" s="258"/>
    </row>
    <row r="918">
      <c r="W918" s="257"/>
      <c r="AA918" s="258"/>
    </row>
    <row r="919">
      <c r="W919" s="257"/>
      <c r="AA919" s="258"/>
    </row>
    <row r="920">
      <c r="W920" s="257"/>
      <c r="AA920" s="258"/>
    </row>
    <row r="921">
      <c r="W921" s="257"/>
      <c r="AA921" s="258"/>
    </row>
    <row r="922">
      <c r="W922" s="257"/>
      <c r="AA922" s="258"/>
    </row>
    <row r="923">
      <c r="W923" s="257"/>
      <c r="AA923" s="258"/>
    </row>
    <row r="924">
      <c r="W924" s="257"/>
      <c r="AA924" s="258"/>
    </row>
    <row r="925">
      <c r="W925" s="257"/>
      <c r="AA925" s="258"/>
    </row>
    <row r="926">
      <c r="W926" s="257"/>
      <c r="AA926" s="258"/>
    </row>
    <row r="927">
      <c r="W927" s="257"/>
      <c r="AA927" s="258"/>
    </row>
    <row r="928">
      <c r="W928" s="257"/>
      <c r="AA928" s="258"/>
    </row>
    <row r="929">
      <c r="W929" s="257"/>
      <c r="AA929" s="258"/>
    </row>
    <row r="930">
      <c r="W930" s="257"/>
      <c r="AA930" s="258"/>
    </row>
    <row r="931">
      <c r="W931" s="257"/>
      <c r="AA931" s="258"/>
    </row>
    <row r="932">
      <c r="W932" s="257"/>
      <c r="AA932" s="258"/>
    </row>
    <row r="933">
      <c r="W933" s="257"/>
      <c r="AA933" s="258"/>
    </row>
    <row r="934">
      <c r="W934" s="257"/>
      <c r="AA934" s="258"/>
    </row>
    <row r="935">
      <c r="W935" s="257"/>
      <c r="AA935" s="258"/>
    </row>
    <row r="936">
      <c r="W936" s="257"/>
      <c r="AA936" s="258"/>
    </row>
    <row r="937">
      <c r="W937" s="257"/>
      <c r="AA937" s="258"/>
    </row>
    <row r="938">
      <c r="W938" s="257"/>
      <c r="AA938" s="258"/>
    </row>
    <row r="939">
      <c r="W939" s="257"/>
      <c r="AA939" s="258"/>
    </row>
    <row r="940">
      <c r="W940" s="257"/>
      <c r="AA940" s="258"/>
    </row>
    <row r="941">
      <c r="W941" s="257"/>
      <c r="AA941" s="258"/>
    </row>
    <row r="942">
      <c r="W942" s="257"/>
      <c r="AA942" s="258"/>
    </row>
    <row r="943">
      <c r="W943" s="257"/>
      <c r="AA943" s="258"/>
    </row>
    <row r="944">
      <c r="W944" s="257"/>
      <c r="AA944" s="258"/>
    </row>
    <row r="945">
      <c r="W945" s="257"/>
      <c r="AA945" s="258"/>
    </row>
    <row r="946">
      <c r="W946" s="257"/>
      <c r="AA946" s="258"/>
    </row>
    <row r="947">
      <c r="W947" s="257"/>
      <c r="AA947" s="258"/>
    </row>
    <row r="948">
      <c r="W948" s="257"/>
      <c r="AA948" s="258"/>
    </row>
    <row r="949">
      <c r="W949" s="257"/>
      <c r="AA949" s="258"/>
    </row>
    <row r="950">
      <c r="W950" s="257"/>
      <c r="AA950" s="258"/>
    </row>
    <row r="951">
      <c r="W951" s="257"/>
      <c r="AA951" s="258"/>
    </row>
    <row r="952">
      <c r="W952" s="257"/>
      <c r="AA952" s="258"/>
    </row>
    <row r="953">
      <c r="W953" s="257"/>
      <c r="AA953" s="258"/>
    </row>
    <row r="954">
      <c r="W954" s="257"/>
      <c r="AA954" s="258"/>
    </row>
    <row r="955">
      <c r="W955" s="257"/>
      <c r="AA955" s="258"/>
    </row>
    <row r="956">
      <c r="W956" s="257"/>
      <c r="AA956" s="258"/>
    </row>
    <row r="957">
      <c r="W957" s="257"/>
      <c r="AA957" s="258"/>
    </row>
    <row r="958">
      <c r="W958" s="257"/>
      <c r="AA958" s="258"/>
    </row>
    <row r="959">
      <c r="W959" s="257"/>
      <c r="AA959" s="258"/>
    </row>
    <row r="960">
      <c r="W960" s="257"/>
      <c r="AA960" s="258"/>
    </row>
    <row r="961">
      <c r="W961" s="257"/>
      <c r="AA961" s="258"/>
    </row>
    <row r="962">
      <c r="W962" s="257"/>
      <c r="AA962" s="258"/>
    </row>
    <row r="963">
      <c r="W963" s="257"/>
      <c r="AA963" s="258"/>
    </row>
    <row r="964">
      <c r="W964" s="257"/>
      <c r="AA964" s="258"/>
    </row>
    <row r="965">
      <c r="W965" s="257"/>
      <c r="AA965" s="258"/>
    </row>
    <row r="966">
      <c r="W966" s="257"/>
      <c r="AA966" s="258"/>
    </row>
    <row r="967">
      <c r="W967" s="257"/>
      <c r="AA967" s="258"/>
    </row>
    <row r="968">
      <c r="W968" s="257"/>
      <c r="AA968" s="258"/>
    </row>
    <row r="969">
      <c r="W969" s="257"/>
      <c r="AA969" s="258"/>
    </row>
    <row r="970">
      <c r="W970" s="257"/>
      <c r="AA970" s="258"/>
    </row>
    <row r="971">
      <c r="W971" s="257"/>
      <c r="AA971" s="258"/>
    </row>
    <row r="972">
      <c r="W972" s="257"/>
      <c r="AA972" s="258"/>
    </row>
    <row r="973">
      <c r="W973" s="257"/>
      <c r="AA973" s="258"/>
    </row>
    <row r="974">
      <c r="W974" s="257"/>
      <c r="AA974" s="258"/>
    </row>
    <row r="975">
      <c r="W975" s="257"/>
      <c r="AA975" s="258"/>
    </row>
    <row r="976">
      <c r="W976" s="257"/>
      <c r="AA976" s="258"/>
    </row>
    <row r="977">
      <c r="W977" s="257"/>
      <c r="AA977" s="258"/>
    </row>
    <row r="978">
      <c r="W978" s="257"/>
      <c r="AA978" s="258"/>
    </row>
    <row r="979">
      <c r="W979" s="257"/>
      <c r="AA979" s="258"/>
    </row>
    <row r="980">
      <c r="W980" s="257"/>
      <c r="AA980" s="258"/>
    </row>
    <row r="981">
      <c r="W981" s="257"/>
      <c r="AA981" s="258"/>
    </row>
    <row r="982">
      <c r="W982" s="257"/>
      <c r="AA982" s="258"/>
    </row>
    <row r="983">
      <c r="W983" s="257"/>
      <c r="AA983" s="258"/>
    </row>
    <row r="984">
      <c r="W984" s="257"/>
      <c r="AA984" s="258"/>
    </row>
    <row r="985">
      <c r="W985" s="257"/>
      <c r="AA985" s="258"/>
    </row>
    <row r="986">
      <c r="W986" s="257"/>
      <c r="AA986" s="258"/>
    </row>
    <row r="987">
      <c r="W987" s="257"/>
      <c r="AA987" s="258"/>
    </row>
    <row r="988">
      <c r="W988" s="257"/>
      <c r="AA988" s="258"/>
    </row>
    <row r="989">
      <c r="W989" s="257"/>
      <c r="AA989" s="258"/>
    </row>
    <row r="990">
      <c r="W990" s="257"/>
      <c r="AA990" s="258"/>
    </row>
    <row r="991">
      <c r="W991" s="257"/>
      <c r="AA991" s="258"/>
    </row>
    <row r="992">
      <c r="W992" s="257"/>
      <c r="AA992" s="258"/>
    </row>
    <row r="993">
      <c r="W993" s="257"/>
      <c r="AA993" s="258"/>
    </row>
    <row r="994">
      <c r="W994" s="257"/>
      <c r="AA994" s="258"/>
    </row>
    <row r="995">
      <c r="W995" s="257"/>
      <c r="AA995" s="258"/>
    </row>
    <row r="996">
      <c r="W996" s="257"/>
      <c r="AA996" s="258"/>
    </row>
    <row r="997">
      <c r="W997" s="257"/>
      <c r="AA997" s="258"/>
    </row>
    <row r="998">
      <c r="W998" s="257"/>
      <c r="AA998" s="258"/>
    </row>
    <row r="999">
      <c r="W999" s="257"/>
      <c r="AA999" s="258"/>
    </row>
    <row r="1000">
      <c r="W1000" s="257"/>
      <c r="AA1000" s="258"/>
    </row>
  </sheetData>
  <mergeCells count="15">
    <mergeCell ref="A8:J8"/>
    <mergeCell ref="A9:J9"/>
    <mergeCell ref="A1:J1"/>
    <mergeCell ref="A16:J16"/>
    <mergeCell ref="A17:J17"/>
    <mergeCell ref="A24:J24"/>
    <mergeCell ref="A25:J25"/>
    <mergeCell ref="A49:J49"/>
    <mergeCell ref="A56:J56"/>
    <mergeCell ref="A57:J57"/>
    <mergeCell ref="A32:J32"/>
    <mergeCell ref="A33:J33"/>
    <mergeCell ref="A40:J40"/>
    <mergeCell ref="A41:J41"/>
    <mergeCell ref="A48:J48"/>
  </mergeCells>
  <conditionalFormatting sqref="C2:C7 C10:C15 C18:C23 C26:C31 C34:C39 C42:C47 C50:C55 C58:C1000">
    <cfRule type="cellIs" dxfId="9" priority="1" operator="greaterThan">
      <formula>200000</formula>
    </cfRule>
  </conditionalFormatting>
  <conditionalFormatting sqref="C2:C7 C10:C15 C18:C23 C26:C31 C34:C39 C42:C47 C50:C55 C58:C1000">
    <cfRule type="cellIs" dxfId="4" priority="2" operator="greaterThan">
      <formula>100000</formula>
    </cfRule>
  </conditionalFormatting>
  <conditionalFormatting sqref="C2:C7 C10:C15 C18:C23 C26:C31 C34:C39 C42:C47 C50:C55 C58:C1000">
    <cfRule type="cellIs" dxfId="5" priority="3" operator="greaterThan">
      <formula>50000</formula>
    </cfRule>
  </conditionalFormatting>
  <conditionalFormatting sqref="J4:J7 J12:J15 J20:J23 J28:J31 J36:J39 J44:J47 J52:J55 J60:J63">
    <cfRule type="cellIs" dxfId="10" priority="4" operator="lessThan">
      <formula>8</formula>
    </cfRule>
  </conditionalFormatting>
  <conditionalFormatting sqref="J4:J7 J12:J15 J20:J23 J28:J31 J36:J39 J44:J47 J52:J55 J60:J63">
    <cfRule type="cellIs" dxfId="11" priority="5" operator="lessThan">
      <formula>16</formula>
    </cfRule>
  </conditionalFormatting>
  <conditionalFormatting sqref="J4:J7 J12:J15 J20:J23 J28:J31 J36:J39 J44:J47 J52:J55 J60:J63">
    <cfRule type="cellIs" dxfId="12" priority="6" operator="greaterThan">
      <formula>16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 paperHeight="13in" paperWidth="8.5in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31.38"/>
    <col customWidth="1" min="3" max="3" width="15.0"/>
  </cols>
  <sheetData>
    <row r="1" ht="20.25" customHeight="1">
      <c r="A1" s="259" t="s">
        <v>60</v>
      </c>
      <c r="B1" s="260" t="s">
        <v>61</v>
      </c>
      <c r="C1" s="261" t="s">
        <v>62</v>
      </c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</row>
    <row r="2" ht="20.25" customHeight="1">
      <c r="A2" s="263" t="s">
        <v>63</v>
      </c>
      <c r="B2" s="264" t="s">
        <v>64</v>
      </c>
      <c r="C2" s="265" t="s">
        <v>65</v>
      </c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</row>
    <row r="3" ht="20.25" customHeight="1">
      <c r="A3" s="266" t="s">
        <v>66</v>
      </c>
      <c r="B3" s="267" t="s">
        <v>67</v>
      </c>
      <c r="C3" s="268" t="s">
        <v>68</v>
      </c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</row>
    <row r="4" ht="20.25" customHeight="1">
      <c r="A4" s="266" t="s">
        <v>69</v>
      </c>
      <c r="B4" s="267" t="s">
        <v>70</v>
      </c>
      <c r="C4" s="268" t="s">
        <v>71</v>
      </c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262"/>
    </row>
    <row r="5" ht="20.25" customHeight="1">
      <c r="A5" s="266" t="s">
        <v>72</v>
      </c>
      <c r="B5" s="267" t="s">
        <v>73</v>
      </c>
      <c r="C5" s="268" t="s">
        <v>74</v>
      </c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262"/>
      <c r="X5" s="262"/>
      <c r="Y5" s="262"/>
      <c r="Z5" s="262"/>
    </row>
    <row r="6" ht="20.25" customHeight="1">
      <c r="A6" s="266" t="s">
        <v>75</v>
      </c>
      <c r="B6" s="267" t="s">
        <v>76</v>
      </c>
      <c r="C6" s="268" t="s">
        <v>77</v>
      </c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Q6" s="262"/>
      <c r="R6" s="262"/>
      <c r="S6" s="262"/>
      <c r="T6" s="262"/>
      <c r="U6" s="262"/>
      <c r="V6" s="262"/>
      <c r="W6" s="262"/>
      <c r="X6" s="262"/>
      <c r="Y6" s="262"/>
      <c r="Z6" s="262"/>
    </row>
    <row r="7" ht="20.25" customHeight="1">
      <c r="A7" s="269" t="s">
        <v>78</v>
      </c>
      <c r="B7" s="270"/>
      <c r="C7" s="271" t="s">
        <v>79</v>
      </c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</row>
    <row r="8" ht="20.25" customHeight="1">
      <c r="A8" s="272" t="s">
        <v>80</v>
      </c>
      <c r="B8" s="273"/>
      <c r="C8" s="274" t="s">
        <v>81</v>
      </c>
      <c r="D8" s="262"/>
      <c r="E8" s="262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</row>
  </sheetData>
  <printOptions gridLines="1" horizontalCentered="1"/>
  <pageMargins bottom="0.75" footer="0.0" header="0.0" left="0.25" right="0.25" top="0.75"/>
  <pageSetup cellComments="atEnd" orientation="landscape" pageOrder="overThenDown" paperHeight="5in" paperWidth="7in"/>
  <drawing r:id="rId1"/>
</worksheet>
</file>